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aster-BoM" sheetId="1" state="visible" r:id="rId3"/>
    <sheet name="Priced BoM" sheetId="2" state="visible" r:id="rId4"/>
    <sheet name="Vendors &amp; shipping" sheetId="3" state="visible" r:id="rId5"/>
    <sheet name="Changes vs V1.0" sheetId="4" state="visible" r:id="rId6"/>
  </sheets>
  <definedNames>
    <definedName function="false" hidden="false" localSheetId="1" name="_xlnm.Print_Titles" vbProcedure="false">'Priced BoM'!$17:$17</definedName>
    <definedName function="false" hidden="true" localSheetId="1" name="_xlnm._FilterDatabase" vbProcedure="false">'Priced BoM'!$B$17:$AA$49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H5" authorId="0">
      <text>
        <r>
          <rPr>
            <sz val="10"/>
            <rFont val="Arial"/>
            <family val="2"/>
          </rPr>
          <t xml:space="preserve">Units to build. Drives order quantities, shipping thresholds and landed cost.</t>
        </r>
      </text>
    </comment>
    <comment ref="H6" authorId="0">
      <text>
        <r>
          <rPr>
            <sz val="10"/>
            <rFont val="Arial"/>
            <family val="2"/>
          </rPr>
          <t xml:space="preserve">USD/INR 95.886 on 25-Sep-2026; 95.8-95.99 on 26-Sep-2026 (search results citing tradingeconomics.com and exchangerates.org.uk). Replace with your card or bank rate.</t>
        </r>
      </text>
    </comment>
    <comment ref="M18" authorId="0">
      <text>
        <r>
          <rPr>
            <sz val="10"/>
            <rFont val="Arial"/>
            <family val="2"/>
          </rPr>
          <t xml:space="preserve">Price from Robu's category page. The listing says '2-pin JST (white)', not JST-PH 2.0 explicitly, and does not mention a protection circuit.</t>
        </r>
      </text>
    </comment>
    <comment ref="M24" authorId="0">
      <text>
        <r>
          <rPr>
            <sz val="10"/>
            <rFont val="Arial"/>
            <family val="2"/>
          </rPr>
          <t xml:space="preserve">Pack of 50 assumed, as LCSC lists for the MCC part.</t>
        </r>
      </text>
    </comment>
    <comment ref="M43" authorId="0">
      <text>
        <r>
          <rPr>
            <sz val="10"/>
            <rFont val="Arial"/>
            <family val="2"/>
          </rPr>
          <t xml:space="preserve">Quartz showed ₹134 and ₹144 for its two 4-pin listings; the higher figure is used.</t>
        </r>
      </text>
    </comment>
  </commentList>
</comments>
</file>

<file path=xl/sharedStrings.xml><?xml version="1.0" encoding="utf-8"?>
<sst xmlns="http://schemas.openxmlformats.org/spreadsheetml/2006/main" count="875" uniqueCount="504">
  <si>
    <t xml:space="preserve">Bill of Materials</t>
  </si>
  <si>
    <t xml:space="preserve">Flood Mesh</t>
  </si>
  <si>
    <t xml:space="preserve">Designed By</t>
  </si>
  <si>
    <t xml:space="preserve">Organization:</t>
  </si>
  <si>
    <t xml:space="preserve">Vazworks</t>
  </si>
  <si>
    <t xml:space="preserve">Project ID:</t>
  </si>
  <si>
    <t xml:space="preserve">NA</t>
  </si>
  <si>
    <t xml:space="preserve">Revision:</t>
  </si>
  <si>
    <t xml:space="preserve">V1.0</t>
  </si>
  <si>
    <t xml:space="preserve">Date:</t>
  </si>
  <si>
    <t xml:space="preserve">22-09-2026</t>
  </si>
  <si>
    <t xml:space="preserve">Variant:</t>
  </si>
  <si>
    <t xml:space="preserve">Manufacture Part Number</t>
  </si>
  <si>
    <t xml:space="preserve">Description</t>
  </si>
  <si>
    <t xml:space="preserve">Designator</t>
  </si>
  <si>
    <t xml:space="preserve">Value</t>
  </si>
  <si>
    <t xml:space="preserve">Package (Imperial)</t>
  </si>
  <si>
    <t xml:space="preserve">Manufacturer</t>
  </si>
  <si>
    <t xml:space="preserve">Supplier</t>
  </si>
  <si>
    <t xml:space="preserve">Supplier Part Number</t>
  </si>
  <si>
    <t xml:space="preserve">Quantity</t>
  </si>
  <si>
    <t xml:space="preserve">Manufacturer Part Number 1</t>
  </si>
  <si>
    <t xml:space="preserve">Case/Package</t>
  </si>
  <si>
    <t xml:space="preserve">Manufacturer 1</t>
  </si>
  <si>
    <t xml:space="preserve">Supplier 1</t>
  </si>
  <si>
    <t xml:space="preserve">Supplier Part Number 1</t>
  </si>
  <si>
    <t xml:space="preserve">LiPo Battery</t>
  </si>
  <si>
    <t xml:space="preserve">BT1</t>
  </si>
  <si>
    <t xml:space="preserve">CL10A106KP8NNNC</t>
  </si>
  <si>
    <t xml:space="preserve">10V 10uF X5R ±10% 0603 Multilayer Ceramic Capacitors MLCC - SMD/SMT ROHS</t>
  </si>
  <si>
    <t xml:space="preserve">C1, C4, C6, C17, C24, C25</t>
  </si>
  <si>
    <t xml:space="preserve">10µF</t>
  </si>
  <si>
    <t xml:space="preserve">0603</t>
  </si>
  <si>
    <t xml:space="preserve">Samsung Electro-Mechanics</t>
  </si>
  <si>
    <t xml:space="preserve">Future Electronics</t>
  </si>
  <si>
    <t xml:space="preserve">GRM188R60J106ME47D</t>
  </si>
  <si>
    <t xml:space="preserve">Ceramic Capacitor, Multilayer, Ceramic, 6.3V, 20% +Tol, 20% -Tol, X5R, 15% TC, 10uF, Surface Mount, 0603</t>
  </si>
  <si>
    <t xml:space="preserve">C2, C19, C20</t>
  </si>
  <si>
    <t xml:space="preserve">10uF</t>
  </si>
  <si>
    <t xml:space="preserve">Murata</t>
  </si>
  <si>
    <t xml:space="preserve">DigiKey</t>
  </si>
  <si>
    <t xml:space="preserve">490-3896-1-ND</t>
  </si>
  <si>
    <t xml:space="preserve">CC0402JRX7R8BB104</t>
  </si>
  <si>
    <t xml:space="preserve">25V 100nF X7R ±5% 0402 Multilayer Ceramic Capacitors MLCC - SMD/SMT ROHS</t>
  </si>
  <si>
    <t xml:space="preserve">C5, C7, C8, C11, C12, C13, C14, C15, C16, C18, C22, C23</t>
  </si>
  <si>
    <t xml:space="preserve">0u1</t>
  </si>
  <si>
    <t xml:space="preserve">0402</t>
  </si>
  <si>
    <t xml:space="preserve">Yageo Group</t>
  </si>
  <si>
    <t xml:space="preserve">13-CC0402JRX7R8BB104CT-ND</t>
  </si>
  <si>
    <t xml:space="preserve">C0603C471J5RACAUTO</t>
  </si>
  <si>
    <t xml:space="preserve">50V 470pF X7R ±5% 0603 Multilayer Ceramic Capacitors MLCC - SMD/SMT ROHS</t>
  </si>
  <si>
    <t xml:space="preserve">C9, C10</t>
  </si>
  <si>
    <t xml:space="preserve">470pF</t>
  </si>
  <si>
    <t xml:space="preserve">399-C0603C471J5RACAUTOCT-ND</t>
  </si>
  <si>
    <t xml:space="preserve">GRM188Z71C225KE43J</t>
  </si>
  <si>
    <t xml:space="preserve">Cap, Mlcc, 2.2Uf, X7R, 16V, 0603 Rohs Compliant: Yes |Murata GRM188Z71C225KE43J</t>
  </si>
  <si>
    <t xml:space="preserve">C21</t>
  </si>
  <si>
    <t xml:space="preserve">2u2</t>
  </si>
  <si>
    <t xml:space="preserve">490-GRM188Z71C225KE43JCT-ND</t>
  </si>
  <si>
    <t xml:space="preserve">ESDA7P60-1U1M</t>
  </si>
  <si>
    <t xml:space="preserve">TVS DIODE 5V 11.6V 1610</t>
  </si>
  <si>
    <t xml:space="preserve">D1, D3</t>
  </si>
  <si>
    <t xml:space="preserve">STMicroelectronics</t>
  </si>
  <si>
    <t xml:space="preserve">497-16253-1-ND</t>
  </si>
  <si>
    <t xml:space="preserve">SM4007PLTP</t>
  </si>
  <si>
    <t xml:space="preserve">Diode</t>
  </si>
  <si>
    <t xml:space="preserve">D2</t>
  </si>
  <si>
    <t xml:space="preserve">MCC</t>
  </si>
  <si>
    <t xml:space="preserve">SM4007PL-TPMSDKR-ND</t>
  </si>
  <si>
    <t xml:space="preserve">LTST-C195KGJRKT</t>
  </si>
  <si>
    <t xml:space="preserve">D4</t>
  </si>
  <si>
    <t xml:space="preserve">Diodes Inc.</t>
  </si>
  <si>
    <t xml:space="preserve">160-1452-1-ND</t>
  </si>
  <si>
    <t xml:space="preserve">MPZ2012S300ATD25</t>
  </si>
  <si>
    <t xml:space="preserve">FERRITE BEAD 30 OHM 0805 1LN</t>
  </si>
  <si>
    <t xml:space="preserve">FB1, FB2</t>
  </si>
  <si>
    <t xml:space="preserve">0805</t>
  </si>
  <si>
    <t xml:space="preserve">TDK</t>
  </si>
  <si>
    <t xml:space="preserve">445-MPZ2012S300ATD25DKR-ND</t>
  </si>
  <si>
    <t xml:space="preserve">114993390</t>
  </si>
  <si>
    <t xml:space="preserve">Integrated Circuit</t>
  </si>
  <si>
    <t xml:space="preserve">IC1</t>
  </si>
  <si>
    <t xml:space="preserve">Seeed Studio</t>
  </si>
  <si>
    <t xml:space="preserve">1597-114993390DKR-ND</t>
  </si>
  <si>
    <t xml:space="preserve">MAX17048G+T10</t>
  </si>
  <si>
    <t xml:space="preserve">IC2</t>
  </si>
  <si>
    <t xml:space="preserve">Analog Devices</t>
  </si>
  <si>
    <t xml:space="preserve">MAX17048G+T10DKR-ND</t>
  </si>
  <si>
    <t xml:space="preserve">TPS6282533DMQR</t>
  </si>
  <si>
    <t xml:space="preserve">IC3</t>
  </si>
  <si>
    <t xml:space="preserve">Texas Instruments</t>
  </si>
  <si>
    <t xml:space="preserve">296-TPS6282533DMQRDKR-ND</t>
  </si>
  <si>
    <t xml:space="preserve">USB4730-GF-A-KIT</t>
  </si>
  <si>
    <t xml:space="preserve">Connector</t>
  </si>
  <si>
    <t xml:space="preserve">J1</t>
  </si>
  <si>
    <t xml:space="preserve">Global Connector Technology</t>
  </si>
  <si>
    <t xml:space="preserve">2073-USB4730-GF-A-KITDKR-ND</t>
  </si>
  <si>
    <t xml:space="preserve">B2B-PH-KL(LF)(SN)</t>
  </si>
  <si>
    <t xml:space="preserve">Connector Header, PH Series, 2 Position, 2.00mm, Shrouded Through Hole, Press-Fit, 100V, 32-24 AWG, Solder, Gray</t>
  </si>
  <si>
    <t xml:space="preserve">J2, J3</t>
  </si>
  <si>
    <t xml:space="preserve">JST</t>
  </si>
  <si>
    <t xml:space="preserve">Arrow Electronics</t>
  </si>
  <si>
    <t xml:space="preserve">74479288147</t>
  </si>
  <si>
    <t xml:space="preserve">Fixed Ind 470NH 3.1A 34 Mohm SMD</t>
  </si>
  <si>
    <t xml:space="preserve">L1</t>
  </si>
  <si>
    <t xml:space="preserve">1008</t>
  </si>
  <si>
    <t xml:space="preserve">Wurth Elektronik</t>
  </si>
  <si>
    <t xml:space="preserve">732-9720-1-ND</t>
  </si>
  <si>
    <t xml:space="preserve">CMT-0904-85T</t>
  </si>
  <si>
    <t xml:space="preserve">LS1</t>
  </si>
  <si>
    <t xml:space="preserve">Same Sky</t>
  </si>
  <si>
    <t xml:space="preserve">102-CMT-0904-85T-ND</t>
  </si>
  <si>
    <t xml:space="preserve">INMP441 Module</t>
  </si>
  <si>
    <t xml:space="preserve">MIC1</t>
  </si>
  <si>
    <t xml:space="preserve">BC847B</t>
  </si>
  <si>
    <t xml:space="preserve">NPN Silicon AF Transistor, 45 V VCEO, 100 mA IC, SOT23, Reel, Green</t>
  </si>
  <si>
    <t xml:space="preserve">Q1</t>
  </si>
  <si>
    <t xml:space="preserve">Infineon</t>
  </si>
  <si>
    <t xml:space="preserve">AC0603FR-7W5K1L</t>
  </si>
  <si>
    <t xml:space="preserve">Fixed Resistor, Metal Glaze/Thick Film, 0.2W, 5100ohm, 75V, 1% +/-Tol, Surface Mount, 0603</t>
  </si>
  <si>
    <t xml:space="preserve">R1, R2</t>
  </si>
  <si>
    <t xml:space="preserve">5K1</t>
  </si>
  <si>
    <t xml:space="preserve">13-AC0603FR-7W5K1LCT-ND</t>
  </si>
  <si>
    <t xml:space="preserve">0402WGF2200TCE</t>
  </si>
  <si>
    <t xml:space="preserve">Res Thick Film 0402 220 Ohm 1% 0.063W(1/16W) ±100ppm/C Pad SMD</t>
  </si>
  <si>
    <t xml:space="preserve">R3</t>
  </si>
  <si>
    <t xml:space="preserve">220Ω</t>
  </si>
  <si>
    <t xml:space="preserve">Royal Ohm</t>
  </si>
  <si>
    <t xml:space="preserve">CRCW0402100KFKEDHP</t>
  </si>
  <si>
    <t xml:space="preserve">Res Thick Film 0402 100K Ohm 1% 0.2W(1/5W) ±100ppm/C Pad SMD Automotive T/R</t>
  </si>
  <si>
    <t xml:space="preserve">R7, R9, R18, R19</t>
  </si>
  <si>
    <t xml:space="preserve">100K</t>
  </si>
  <si>
    <t xml:space="preserve">Vishay</t>
  </si>
  <si>
    <t xml:space="preserve">541-100KYCT-ND</t>
  </si>
  <si>
    <t xml:space="preserve">AC0402FR-7W10KL</t>
  </si>
  <si>
    <t xml:space="preserve">Res Thick Film 0402 10K Ohm 1% 0.125W(1/8W) ±100ppm/C Pad SMD Automotive T/R</t>
  </si>
  <si>
    <t xml:space="preserve">R8, R10, R13, R14, R15, R16, R24</t>
  </si>
  <si>
    <t xml:space="preserve">10K</t>
  </si>
  <si>
    <t xml:space="preserve">13-AC0402FR-7W10KLDKR-ND</t>
  </si>
  <si>
    <t xml:space="preserve">ERJPA3F33R0V</t>
  </si>
  <si>
    <t xml:space="preserve">Res Thick Film 0603 33 Ohm 1% 0.25W(1/4W) ±100ppm/C Pad SMD Automotive T/R</t>
  </si>
  <si>
    <t xml:space="preserve">R17, R20, R21</t>
  </si>
  <si>
    <t xml:space="preserve">33Ω</t>
  </si>
  <si>
    <t xml:space="preserve">Panasonic</t>
  </si>
  <si>
    <t xml:space="preserve">P33.00BYDKR-ND</t>
  </si>
  <si>
    <t xml:space="preserve">AC0603FR-7W1KL</t>
  </si>
  <si>
    <t xml:space="preserve">Res Thick Film 0603 1K Ohm 1% 0.2W(1/5W) ±100ppm/C Pad SMD T/R Automotive AEC-Q200</t>
  </si>
  <si>
    <t xml:space="preserve">R22, R23</t>
  </si>
  <si>
    <t xml:space="preserve">1kΩ</t>
  </si>
  <si>
    <t xml:space="preserve">13-AC0603FR-7W1KLDKR-ND</t>
  </si>
  <si>
    <t xml:space="preserve">TS11-674-135-BK-160-RA-D</t>
  </si>
  <si>
    <t xml:space="preserve">S1</t>
  </si>
  <si>
    <t xml:space="preserve">2223-TS11-674-135-BK-160-RA-D-ND</t>
  </si>
  <si>
    <t xml:space="preserve">TS04-66-95-BK-100-SMT</t>
  </si>
  <si>
    <t xml:space="preserve">S2, S3, S4, S5</t>
  </si>
  <si>
    <t xml:space="preserve">2223-TS04-66-95-BK-100-SMT-ND</t>
  </si>
  <si>
    <t xml:space="preserve">SWS045-030R22TSK</t>
  </si>
  <si>
    <t xml:space="preserve">S6</t>
  </si>
  <si>
    <t xml:space="preserve">2073-SWS045-030R22TSK-ND</t>
  </si>
  <si>
    <t xml:space="preserve">ESP32-S3-WROOM-1U-N16R8</t>
  </si>
  <si>
    <t xml:space="preserve">U1</t>
  </si>
  <si>
    <t xml:space="preserve">Espressif Systems</t>
  </si>
  <si>
    <t xml:space="preserve">1965-ESP32-S3-WROOM-1U-N16R8DKR-ND</t>
  </si>
  <si>
    <t xml:space="preserve">MAX98357AETE+T</t>
  </si>
  <si>
    <t xml:space="preserve">Tiny, Low-Cost, PCM Class D Amplifier with Class AB Performance</t>
  </si>
  <si>
    <t xml:space="preserve">U2</t>
  </si>
  <si>
    <t xml:space="preserve">MAX98357AETE+TDKR-ND</t>
  </si>
  <si>
    <t xml:space="preserve">0.96 OLED</t>
  </si>
  <si>
    <t xml:space="preserve">0.96â€ 128 X 64 MONOCHROME GRAPHIC OLED DISPLAY MODULE - I2C</t>
  </si>
  <si>
    <t xml:space="preserve">U3</t>
  </si>
  <si>
    <t xml:space="preserve">MCP73833T-FCI/UN</t>
  </si>
  <si>
    <t xml:space="preserve">IC LI-ION/LI-POLY CTRLR 10MSOP</t>
  </si>
  <si>
    <t xml:space="preserve">U4</t>
  </si>
  <si>
    <t xml:space="preserve">MSOP</t>
  </si>
  <si>
    <t xml:space="preserve">Microchip</t>
  </si>
  <si>
    <t xml:space="preserve">MCP73833T-FCI/UNDKR-ND</t>
  </si>
  <si>
    <t xml:space="preserve">Notes:</t>
  </si>
  <si>
    <t xml:space="preserve">Any passive components which matches the footprint and value can be used.</t>
  </si>
  <si>
    <t xml:space="preserve">DNP/DNM - Do Not Populate/Do Not Mount</t>
  </si>
  <si>
    <t xml:space="preserve">Bill of Materials — Priced (India / China sources, landed cost)</t>
  </si>
  <si>
    <t xml:space="preserve">Flood Mesh · PCB Rev V1.0 · no voice (mic, amplifier, speaker removed) · power switch moved off-board to a panel rocker</t>
  </si>
  <si>
    <t xml:space="preserve">Inputs (edit the yellow cells)</t>
  </si>
  <si>
    <t xml:space="preserve">Summary</t>
  </si>
  <si>
    <t xml:space="preserve">Designed by:</t>
  </si>
  <si>
    <t xml:space="preserve">NSquare Bros</t>
  </si>
  <si>
    <t xml:space="preserve">Build quantity (units)</t>
  </si>
  <si>
    <t xml:space="preserve">Line items</t>
  </si>
  <si>
    <t xml:space="preserve">V1.0 (22-09-2026) with listed changes</t>
  </si>
  <si>
    <t xml:space="preserve">Exchange rate (INR per USD)</t>
  </si>
  <si>
    <t xml:space="preserve">PCB parts per unit</t>
  </si>
  <si>
    <t xml:space="preserve">Prices gathered:</t>
  </si>
  <si>
    <t xml:space="preserve">27-09-2026 (search-indexed listings from Indian retailers, LCSC and Seeed; not live cart prices)</t>
  </si>
  <si>
    <t xml:space="preserve">Goods for the build (INR)</t>
  </si>
  <si>
    <t xml:space="preserve">Shipping for the build (INR)</t>
  </si>
  <si>
    <t xml:space="preserve">Import duty / tax (INR)</t>
  </si>
  <si>
    <t xml:space="preserve">Landed cost for the build (INR)</t>
  </si>
  <si>
    <t xml:space="preserve">Landed cost per unit (INR)</t>
  </si>
  <si>
    <t xml:space="preserve">Landed cost per unit (USD)</t>
  </si>
  <si>
    <t xml:space="preserve">  of which PCB parts (INR)</t>
  </si>
  <si>
    <t xml:space="preserve">  of which case parts (INR)</t>
  </si>
  <si>
    <t xml:space="preserve">Lines with no price yet</t>
  </si>
  <si>
    <t xml:space="preserve">Blue = typed-in value · Black = formula · Yellow = input. Landed cost = order value (rounded up to the vendor's minimum/pack) + that vendor's shipping and import duty, shared across its lines by value. Vendor shipping and duty are set on the 'Vendors &amp; shipping' sheet.</t>
  </si>
  <si>
    <t xml:space="preserve">#</t>
  </si>
  <si>
    <t xml:space="preserve">Manufacturer Part Number (designer)</t>
  </si>
  <si>
    <t xml:space="preserve">Fitted on</t>
  </si>
  <si>
    <t xml:space="preserve">Package</t>
  </si>
  <si>
    <t xml:space="preserve">Qty / unit</t>
  </si>
  <si>
    <t xml:space="preserve">Buy from</t>
  </si>
  <si>
    <t xml:space="preserve">Vendor part no. / listing</t>
  </si>
  <si>
    <t xml:space="preserve">Part bought, if not the designer's MPN</t>
  </si>
  <si>
    <t xml:space="preserve">Unit price (as quoted)</t>
  </si>
  <si>
    <t xml:space="preserve">Currency</t>
  </si>
  <si>
    <t xml:space="preserve">Price tier</t>
  </si>
  <si>
    <t xml:space="preserve">Min / pack qty</t>
  </si>
  <si>
    <t xml:space="preserve">Needed for build</t>
  </si>
  <si>
    <t xml:space="preserve">Order qty</t>
  </si>
  <si>
    <t xml:space="preserve">Unit price (INR)</t>
  </si>
  <si>
    <t xml:space="preserve">Order value (INR)</t>
  </si>
  <si>
    <t xml:space="preserve">Landed cost for build (INR)</t>
  </si>
  <si>
    <t xml:space="preserve">Price confidence</t>
  </si>
  <si>
    <t xml:space="preserve">Source</t>
  </si>
  <si>
    <t xml:space="preserve">Other options checked</t>
  </si>
  <si>
    <t xml:space="preserve">Change vs V1.0 BoM</t>
  </si>
  <si>
    <t xml:space="preserve">Notes</t>
  </si>
  <si>
    <t xml:space="preserve">1S LiPo, 3.7 V, 2000 mAh or more, JST-PH 2.0 mm lead (per schematic sheet 4)</t>
  </si>
  <si>
    <t xml:space="preserve">PCB</t>
  </si>
  <si>
    <t xml:space="preserve">Robu.in</t>
  </si>
  <si>
    <t xml:space="preserve">R218004</t>
  </si>
  <si>
    <t xml:space="preserve">Single-cell micro LiPo 3.7 V 2000 mAh, 2-pin JST (white)</t>
  </si>
  <si>
    <t xml:space="preserve">INR</t>
  </si>
  <si>
    <t xml:space="preserve">qty 1, incl. GST</t>
  </si>
  <si>
    <t xml:space="preserve">MED</t>
  </si>
  <si>
    <t xml:space="preserve">open</t>
  </si>
  <si>
    <t xml:space="preserve">ElectronicsComp KP-045060 2000 mAh ₹448.40 incl. GST (Probots lists the same model with a JST-PH 2 mm lead and protection). Alibaba 103450 about $2.00 at 10-99 pcs, but see note on importing LiPo.</t>
  </si>
  <si>
    <t xml:space="preserve">Buy in India: importing LiPo cells needs BIS registration (IS 16046) and dangerous-goods shipping. CHECK the listing is JST-PH 2.0 mm (not another 'JST') with a protection circuit, and that its polarity matches J3 (README concern 2).</t>
  </si>
  <si>
    <t xml:space="preserve">10V 10uF X5R ±10% 0603 MLCC</t>
  </si>
  <si>
    <t xml:space="preserve">C1, C4, C17, C24, C25</t>
  </si>
  <si>
    <t xml:space="preserve">LCSC</t>
  </si>
  <si>
    <t xml:space="preserve">C19702</t>
  </si>
  <si>
    <t xml:space="preserve">USD</t>
  </si>
  <si>
    <t xml:space="preserve">50+</t>
  </si>
  <si>
    <t xml:space="preserve">Other LCSC figures seen: $0.0051 at 500+, 'from' $0.0031.</t>
  </si>
  <si>
    <t xml:space="preserve">6 → 5: C6 removed (amplifier decoupling)</t>
  </si>
  <si>
    <t xml:space="preserve">Same part also fills the next line's two positions.</t>
  </si>
  <si>
    <t xml:space="preserve">10uF 6.3V X5R ±20% 0603 MLCC</t>
  </si>
  <si>
    <t xml:space="preserve">C19, C20</t>
  </si>
  <si>
    <t xml:space="preserve">CL10A106KP8NNNC (same 10 µF 0603, 10 V)</t>
  </si>
  <si>
    <t xml:space="preserve">Same LCSC part as line 2; buy one reel strip for both lines.</t>
  </si>
  <si>
    <t xml:space="preserve">3 → 2: C2 removed (mic decoupling)</t>
  </si>
  <si>
    <t xml:space="preserve">Bought as CL10A106KP8NNNC; the designer's note allows any passive of matching value and footprint.</t>
  </si>
  <si>
    <t xml:space="preserve">25V 100nF X7R ±5% 0402 MLCC</t>
  </si>
  <si>
    <t xml:space="preserve">C5, C8, C11, C12, C13, C14, C15, C16, C18, C22, C23</t>
  </si>
  <si>
    <t xml:space="preserve">C105883</t>
  </si>
  <si>
    <t xml:space="preserve">YAGEO CC0402KRX7R8BB104 (100 nF 25 V X7R 0402, ±10%)</t>
  </si>
  <si>
    <t xml:space="preserve">'from' price</t>
  </si>
  <si>
    <t xml:space="preserve">Exact ±5% MPN not on LCSC. CL05B104KO5NNNC (C1525) is cheaper but only 16 V.</t>
  </si>
  <si>
    <t xml:space="preserve">12 → 11: C7 removed (amplifier decoupling)</t>
  </si>
  <si>
    <t xml:space="preserve">±10% instead of ±5%: fine for decoupling.</t>
  </si>
  <si>
    <t xml:space="preserve">2.2uF 16V X7R 0603 MLCC</t>
  </si>
  <si>
    <t xml:space="preserve">C21794833</t>
  </si>
  <si>
    <t xml:space="preserve">HIGH</t>
  </si>
  <si>
    <t xml:space="preserve">CL10A225KO8NNNC (C23630) $0.0085 is X5R, not X7R.</t>
  </si>
  <si>
    <t xml:space="preserve">TVS diode 5V 11.6V 1610</t>
  </si>
  <si>
    <t xml:space="preserve">C1975146</t>
  </si>
  <si>
    <t xml:space="preserve">TECH PUBLIC second-source ESDA7P60-1U1M (C7202956) from $0.0412. No Indian retailer price for the -60 part.</t>
  </si>
  <si>
    <t xml:space="preserve">Diode 1000V 1A SOD-123FL (buzzer flyback)</t>
  </si>
  <si>
    <t xml:space="preserve">C64898</t>
  </si>
  <si>
    <t xml:space="preserve">MDD SM4007PL (1 A 1 kV, SOD-123FL)</t>
  </si>
  <si>
    <t xml:space="preserve">MCC SM4007PL-TP (C78741) $0.0551, min 50.</t>
  </si>
  <si>
    <t xml:space="preserve">Orderable MPN is written SM4007PL-TP.</t>
  </si>
  <si>
    <t xml:space="preserve">LED red/green bicolour 0606 (charge status)</t>
  </si>
  <si>
    <t xml:space="preserve">C125104</t>
  </si>
  <si>
    <t xml:space="preserve">Designer's BoM says 'Diodes Inc.'; LTST-C195KGJRKT is a Lite-On part.</t>
  </si>
  <si>
    <t xml:space="preserve">Seeed Wio-SX1262 LoRa module</t>
  </si>
  <si>
    <t xml:space="preserve">qty 1 and 10+</t>
  </si>
  <si>
    <t xml:space="preserve">Not on LCSC. No Indian retailer price for the bare module (ThinkRobotics lists it); Robocraze sells only a XIAO + Wio-SX1262 kit at ₹1,699.</t>
  </si>
  <si>
    <t xml:space="preserve">RF comes out on the module's own IPEX (U.FL) connector, so its ANT pad is unconnected, as on the schematic. Needs an 865-867 MHz U.FL antenna (not in this BoM).</t>
  </si>
  <si>
    <t xml:space="preserve">Li-ion fuel gauge, I²C, 8-TDFN</t>
  </si>
  <si>
    <t xml:space="preserve">C2682616</t>
  </si>
  <si>
    <t xml:space="preserve">Evelta ₹507.45 ex GST.</t>
  </si>
  <si>
    <t xml:space="preserve">3.3 V 2 A buck converter, 6-VSON</t>
  </si>
  <si>
    <t xml:space="preserve">C2650334</t>
  </si>
  <si>
    <t xml:space="preserve">TPS62825DMQR (adjustable version, same package) - needs a PCB change</t>
  </si>
  <si>
    <t xml:space="preserve">The fixed-3.3 V TPS6282533DMQR is only sold by TI.com and US distributors; not on LCSC, JLCPCB, Evelta, Robu, ElectronicsComp or Lion Circuits.</t>
  </si>
  <si>
    <t xml:space="preserve">CHECK (designer): no non-US source for the fixed 3.3 V part. Priced as the adjustable TPS62825DMQR, which needs a two-resistor feedback divider on FB. The board is being revised anyway, so this is the moment to decide.</t>
  </si>
  <si>
    <t xml:space="preserve">USB-C receptacle (charging only)</t>
  </si>
  <si>
    <t xml:space="preserve">JLCPCB (assembly only)</t>
  </si>
  <si>
    <t xml:space="preserve">C20598701</t>
  </si>
  <si>
    <t xml:space="preserve">LOW</t>
  </si>
  <si>
    <t xml:space="preserve">Not sold loose by LCSC or Indian retailers; only JLCPCB assembly and US distributors. The common LCSC USB-C (HRO TYPE-C-31-M-12, C165948, $0.097) is NOT sealed and has a different footprint.</t>
  </si>
  <si>
    <t xml:space="preserve">IP67-sealed USB-C (GCT specification): the case's seal at the charging port relies on it, so an unsealed LCSC connector is not a drop-in. Buy loose from a US distributor, have JLCPCB assemble the board, or the designer picks a sealed USB-C that LCSC stocks.</t>
  </si>
  <si>
    <t xml:space="preserve">JST PH 2-pin 2.00 mm shrouded TH header (battery)</t>
  </si>
  <si>
    <t xml:space="preserve">J3</t>
  </si>
  <si>
    <t xml:space="preserve">C2683610</t>
  </si>
  <si>
    <t xml:space="preserve">Sunrom 2-pin PH header ₹2.25 (shroud not confirmed).</t>
  </si>
  <si>
    <t xml:space="preserve">2 → 1: J2 removed (speaker connector)</t>
  </si>
  <si>
    <t xml:space="preserve">Fixed inductor 470 nH 3.1 A 34 mΩ, 1008 (buck)</t>
  </si>
  <si>
    <t xml:space="preserve">C703140</t>
  </si>
  <si>
    <t xml:space="preserve">Murata DFE252012F-R47M=P2 (470 nH ±20%, 4.9 A, 2520/1008)</t>
  </si>
  <si>
    <t xml:space="preserve">The Würth part is not on LCSC.</t>
  </si>
  <si>
    <t xml:space="preserve">CHECK: pads of the Murata part against the Würth footprint. The Würth datasheet (6.8 A, 22 mΩ) also disagrees with the BoM text (3.1 A, 34 mΩ).</t>
  </si>
  <si>
    <t xml:space="preserve">Magnetic buzzer (needs PWM tone)</t>
  </si>
  <si>
    <t xml:space="preserve">C3811834</t>
  </si>
  <si>
    <t xml:space="preserve">88 in stock when searched. Indian retailers had only 5 V buzzers of unknown size or an 8.5 mm SMD passive (Probots ₹95); neither fits this footprint.</t>
  </si>
  <si>
    <t xml:space="preserve">Kept: alarm tone. Not part of the voice path.</t>
  </si>
  <si>
    <t xml:space="preserve">NPN 45 V 100 mA SOT-23 (buzzer driver)</t>
  </si>
  <si>
    <t xml:space="preserve">C181140</t>
  </si>
  <si>
    <t xml:space="preserve">BC847B, Guangdong Hottech (SOT-23)</t>
  </si>
  <si>
    <t xml:space="preserve">Nexperia BC847B,215 is JLCPCB C57668 (price not found).</t>
  </si>
  <si>
    <t xml:space="preserve">Generic BC847B; the Infineon part is being discontinued (last order 31-12-2026).</t>
  </si>
  <si>
    <t xml:space="preserve">5.1 kΩ 1% 0603 (USB-C CC pull-downs)</t>
  </si>
  <si>
    <t xml:space="preserve">C23186</t>
  </si>
  <si>
    <t xml:space="preserve">UNI-ROYAL 0603WAF5101T5E (5.1 kΩ 1% 0603)</t>
  </si>
  <si>
    <t xml:space="preserve">Lower power rating than the -7W part; this resistor dissipates well under 10 mW.</t>
  </si>
  <si>
    <t xml:space="preserve">220 Ω 1% 0402 (buzzer base)</t>
  </si>
  <si>
    <t xml:space="preserve">C25091</t>
  </si>
  <si>
    <t xml:space="preserve">No supplier in the designer's BoM.</t>
  </si>
  <si>
    <t xml:space="preserve">100 kΩ 1% 0402</t>
  </si>
  <si>
    <t xml:space="preserve">R18, R19</t>
  </si>
  <si>
    <t xml:space="preserve">C25741</t>
  </si>
  <si>
    <t xml:space="preserve">UNI-ROYAL 0402WGF1003TCE (100 kΩ 1% 0402)</t>
  </si>
  <si>
    <t xml:space="preserve">Another figure seen: $0.0005.</t>
  </si>
  <si>
    <t xml:space="preserve">4 → 2: R7 (SD_MODE) and R9 (GAIN_SLOT) removed</t>
  </si>
  <si>
    <t xml:space="preserve">Pull-up: power rating irrelevant.</t>
  </si>
  <si>
    <t xml:space="preserve">10 kΩ 1% 0402</t>
  </si>
  <si>
    <t xml:space="preserve">C25744</t>
  </si>
  <si>
    <t xml:space="preserve">UNI-ROYAL 0402WGF1002TCE (10 kΩ 1% 0402)</t>
  </si>
  <si>
    <t xml:space="preserve">One result said out of stock; any 10 kΩ 1% 0402 will do.</t>
  </si>
  <si>
    <t xml:space="preserve">33 Ω 1% 0603 (LoRa SPI series)</t>
  </si>
  <si>
    <t xml:space="preserve">C23140</t>
  </si>
  <si>
    <t xml:space="preserve">UNI-ROYAL 0603WAF330JT5E (33 Ω 1% 0603)</t>
  </si>
  <si>
    <t xml:space="preserve">SPI series resistor: the original's 0.25 W anti-surge rating is not needed.</t>
  </si>
  <si>
    <t xml:space="preserve">1 kΩ 1% 0603 (LED)</t>
  </si>
  <si>
    <t xml:space="preserve">C21190</t>
  </si>
  <si>
    <t xml:space="preserve">UNI-ROYAL 0603WAF1001T5E (1 kΩ 1% 0603)</t>
  </si>
  <si>
    <t xml:space="preserve">Tactile switch, right angle (side / SOS button)</t>
  </si>
  <si>
    <t xml:space="preserve">C6290621</t>
  </si>
  <si>
    <t xml:space="preserve">TS11-674-50-BK-260-RA-D (same series, shorter actuator, 260 gf)</t>
  </si>
  <si>
    <t xml:space="preserve">Out of stock at LCSC when searched. The -135 part is only at US distributors. JLCPCB lists TS11-674-80-BK-260-RA-D (C7074162) for assembly.</t>
  </si>
  <si>
    <t xml:space="preserve">CHECK (designer): the side SOS button's actuator length sets how far it pokes through the case. The stocked TS11 variants are shorter; pick one and adjust the case, or buy the -135 from a US distributor.</t>
  </si>
  <si>
    <t xml:space="preserve">Tactile switch, SMT (face buttons)</t>
  </si>
  <si>
    <t xml:space="preserve">C20183374</t>
  </si>
  <si>
    <t xml:space="preserve">TS04-66-85-BK-260-SMT-TR (same series, 8.5 mm tall, 260 gf)</t>
  </si>
  <si>
    <t xml:space="preserve">JLCPCB lists the 9.5 mm TS04-66-95-BK-260-SMT (C9900020841) for assembly. ElectronicsComp sells a generic 6×6×9.5 mm SMD switch (5-pack, price not found) and a 6×6×4.3 mm one at ₹29 per 5 ex GST.</t>
  </si>
  <si>
    <t xml:space="preserve">CHECK: 1 mm shorter and stiffer than specified; confirm against the case, or use JLCPCB's 9.5 mm part if JLCPCB assembles the board.</t>
  </si>
  <si>
    <t xml:space="preserve">ESP32-S3 module, 16 MB flash, 8 MB PSRAM, U.FL antenna connector</t>
  </si>
  <si>
    <t xml:space="preserve">Evelta</t>
  </si>
  <si>
    <t xml:space="preserve">LCSC C3013946 $3.45 (about ₹434 after 31% duty, before shipping). Lion Circuits about ₹719 (variant unclear).</t>
  </si>
  <si>
    <t xml:space="preserve">Evelta is cheaper than LCSC once import duty is added. ANT1 (sticker antenna, a Case line) plugs into its U.FL socket.</t>
  </si>
  <si>
    <t xml:space="preserve">0.96" 128×64 monochrome OLED module, I²C, 4-pin</t>
  </si>
  <si>
    <t xml:space="preserve">Quartz Components</t>
  </si>
  <si>
    <t xml:space="preserve">OLED 0.96" I2C 4-pin SSD1306</t>
  </si>
  <si>
    <t xml:space="preserve">qty 1</t>
  </si>
  <si>
    <t xml:space="preserve">Robokits RKI-3206 ₹108 (shipping terms not found, so not chosen). ElectronicsComp ₹163 ex GST. Robu ₹181 incl. GST. LCSC HS96L03W2C03 $1.93 at 10+ may be a bare panel.</t>
  </si>
  <si>
    <t xml:space="preserve">No supplier in the designer's BoM. CHECK the module's pin order (VCC/GND/SCL/SDA vs GND/VCC/SCL/SDA) matches U3.</t>
  </si>
  <si>
    <t xml:space="preserve">Li-ion/Li-poly charge controller, 10-MSOP</t>
  </si>
  <si>
    <t xml:space="preserve">C627668</t>
  </si>
  <si>
    <t xml:space="preserve">MCP73833T-AMI/UN (same charger, different option code) - check before swapping</t>
  </si>
  <si>
    <t xml:space="preserve">The FCI part is JLCPCB C627671 (price not found) and Robu MCP73833-FCI/UN (price not found). Robu MCP73833T-AMI/UN about ₹174 incl. GST (LOW).</t>
  </si>
  <si>
    <t xml:space="preserve">CHECK (designer): the AMI and FCI option codes set different charge-termination/timer options. Compare the datasheet option table before substituting, or source the FCI part.</t>
  </si>
  <si>
    <t xml:space="preserve">BM02B-GHS-TBT</t>
  </si>
  <si>
    <t xml:space="preserve">JST GH 2-pin 1.25 mm SMT header, latching (power switch lead)</t>
  </si>
  <si>
    <t xml:space="preserve">J_SW (new, designator TBC)</t>
  </si>
  <si>
    <t xml:space="preserve">C161690</t>
  </si>
  <si>
    <t xml:space="preserve">Probots 2-pin JST GH male ₹14 (SMT or THT not stated).</t>
  </si>
  <si>
    <t xml:space="preserve">NEW: replaces S6 (slide switch removed)</t>
  </si>
  <si>
    <t xml:space="preserve">Pin 1 BATT+, pin 2 BATT_IN, where S6 was. Not a second JST-PH, so the battery plug cannot go in it. GH latches, so a drop cannot unplug the switch lead.</t>
  </si>
  <si>
    <t xml:space="preserve">KCD1-2-101W</t>
  </si>
  <si>
    <t xml:space="preserve">Mini rocker switch SPST, snap-in, waterproof (IP65), 2-pin</t>
  </si>
  <si>
    <t xml:space="preserve">SW1 (case)</t>
  </si>
  <si>
    <t xml:space="preserve">Case</t>
  </si>
  <si>
    <t xml:space="preserve">Evelta round KCD1-5-101W (IP65) ₹84.96 incl. GST. Probots lists a KCD3 IP67 rocker (price not found). The IP67 NKK JWMW11RAA is only at US distributors (about $4.33).</t>
  </si>
  <si>
    <t xml:space="preserve">NEW: panel power switch on the case</t>
  </si>
  <si>
    <t xml:space="preserve">IP65 only: splash-proof, not immersion-proof. For a flood unit add a silicone boot and panel gasket, or find an IP67 rocker (Probots lists a KCD3 IP67). Cutout differs from the NKK part (about 21 × 15 mm vs 25 × 15.4 mm).</t>
  </si>
  <si>
    <t xml:space="preserve">GHR-02V-S</t>
  </si>
  <si>
    <t xml:space="preserve">JST GH 2-pin receptacle housing (switch lead)</t>
  </si>
  <si>
    <t xml:space="preserve">Switch lead</t>
  </si>
  <si>
    <t xml:space="preserve">C160416</t>
  </si>
  <si>
    <t xml:space="preserve">LCSC figures conflict: $0.0154, $0.0263, and $0.0919 on an out-of-stock listing.</t>
  </si>
  <si>
    <t xml:space="preserve">NEW</t>
  </si>
  <si>
    <t xml:space="preserve">Plug for the switch lead.</t>
  </si>
  <si>
    <t xml:space="preserve">SSHL-002T-P0.2</t>
  </si>
  <si>
    <t xml:space="preserve">JST GH crimp contact, 26-30 AWG</t>
  </si>
  <si>
    <t xml:space="preserve">C189897</t>
  </si>
  <si>
    <t xml:space="preserve">Probots sells pre-crimped GH 1.25 leads (price not found). Sunrom's '1.25 mm JST' lead (₹23) may be PicoBlade, which does not mate with GH.</t>
  </si>
  <si>
    <t xml:space="preserve">Crimp onto 26-28 AWG wire and insert into GHR-02V-S; needs a crimper that handles GH contacts. Solder the other ends to the rocker and sleeve them.</t>
  </si>
  <si>
    <t xml:space="preserve">1461530100</t>
  </si>
  <si>
    <t xml:space="preserve">2.4 GHz adhesive flex (sticker) antenna, U.FL / I-PEX MHF1, 100 mm cable</t>
  </si>
  <si>
    <t xml:space="preserve">ANT1 (case)</t>
  </si>
  <si>
    <t xml:space="preserve">C152350</t>
  </si>
  <si>
    <t xml:space="preserve">Sunrom 2.4 GHz adhesive antenna, IPEX, ₹112 (MHF1 vs MHF4 not stated). Alibaba generic FPC $0.5-0.8 (MOQ 10+, LOW).</t>
  </si>
  <si>
    <t xml:space="preserve">NEW: Bluetooth antenna for U1</t>
  </si>
  <si>
    <t xml:space="preserve">Genuine U.FL/MHF1 plug, balanced design (works stuck to the case wall). Keep it at least 10 mm from the LiPo and any metal; tape the U.FL plug down (rated ~30 matings).</t>
  </si>
  <si>
    <t xml:space="preserve">Total</t>
  </si>
  <si>
    <t xml:space="preserve">Check</t>
  </si>
  <si>
    <t xml:space="preserve">1. Changes from the designer's V1.0 BoM: voice parts removed (MIC1, U2, C2, C6, C7, R7, R9, FB1, FB2, C9, C10, J2) and the slide switch S6 replaced by a latching 2-pin header (J_SW) wired to a rocker on the case. Lines marked 'Case' (rocker, switch lead, Bluetooth antenna) are not PCB parts. See 'Changes vs V1.0'.</t>
  </si>
  <si>
    <t xml:space="preserve">2. Sourcing rule (owner, 27-09-2026): Indian retailers or Chinese sources, no US distributors, whichever is cheapest including shipping. One LCSC order is needed anyway (the passives), so each line goes to the vendor with the lowest landed price given that order; 'Other options checked' lists what lost.</t>
  </si>
  <si>
    <t xml:space="preserve">3. Landed cost = price × order quantity (rounded up to the vendor's minimum or pack), plus that vendor's shipping and import duty shared across its lines by value. Vendor terms are on 'Vendors &amp; shipping' and can be edited.</t>
  </si>
  <si>
    <t xml:space="preserve">4. How prices were gathered: search-engine listings of the vendors' pages on 27-09-2026, not live cart prices. LCSC 'from' prices are often its volume tier, so small-quantity IC prices at checkout may be somewhat higher. Hover a price cell for conflicting figures.</t>
  </si>
  <si>
    <t xml:space="preserve">5. Price confidence: HIGH = the price was attributed to that vendor's page for this exact part. MED = attributed to the vendor but not tied to the exact page, or conflicting. LOW = unclear, stand-in or out of stock.</t>
  </si>
  <si>
    <t xml:space="preserve">6. LiPo cells are bought in India: importing them needs BIS registration (IS 16046) and dangerous-goods courier handling. AliExpress cannot be used: checkout is still blocked for Indian addresses.</t>
  </si>
  <si>
    <t xml:space="preserve">7. Parts with no source outside US distributors, marked CHECK on their lines: TPS6282533DMQR (fixed 3.3 V buck), USB4730-GF-A-KIT (IP67-sealed USB-C, no price), TS11-674-135 (side button), TS04-66-95 (face buttons, exact height) and MCP73833T-FCI/UN (exact option). Since the board is being revised, the designer can re-pick these from LCSC/JLCPCB stock.</t>
  </si>
  <si>
    <t xml:space="preserve">8. If JLCPCB assembles the boards, it sources LCSC/JLCPCB parts itself, including the sealed USB4730 (C20598701) and the 9.5 mm TS04 switch. This sheet assumes buying parts loose for your own assembly.</t>
  </si>
  <si>
    <t xml:space="preserve">9. Still not in this BoM: the 865-867 MHz U.FL antenna for IC1, PCB fabrication and assembly, the enclosure, hookup wire, and the pending changes in docs/architecture.md §9 (4×4 keypad, NTC on THERM, reverse-polarity protection, fuel gauge on BATT+, larger C21, etc.).</t>
  </si>
  <si>
    <t xml:space="preserve">Vendors &amp; shipping</t>
  </si>
  <si>
    <t xml:space="preserve">Shipping is charged per order, so each vendor's fee and import duty are shared across the lines bought from it. Edit the yellow cells if a vendor's terms differ at checkout.</t>
  </si>
  <si>
    <t xml:space="preserve">Duty / tax added: 0% for Indian shops whose prices include GST; 18% for Indian shops that quote ex-GST; the customs estimate for imports, applied to goods + shipping.</t>
  </si>
  <si>
    <t xml:space="preserve">Vendor</t>
  </si>
  <si>
    <t xml:space="preserve">Ships from</t>
  </si>
  <si>
    <t xml:space="preserve">Shipping fee (INR)</t>
  </si>
  <si>
    <t xml:space="preserve">Free shipping from (INR)</t>
  </si>
  <si>
    <t xml:space="preserve">Duty / tax added (%)</t>
  </si>
  <si>
    <t xml:space="preserve">Order subtotal (INR)</t>
  </si>
  <si>
    <t xml:space="preserve">Shipping charged (INR)</t>
  </si>
  <si>
    <t xml:space="preserve">Duty / tax (INR)</t>
  </si>
  <si>
    <t xml:space="preserve">Landed total (INR)</t>
  </si>
  <si>
    <t xml:space="preserve">Lines</t>
  </si>
  <si>
    <t xml:space="preserve">Basis for the fee and duty</t>
  </si>
  <si>
    <t xml:space="preserve">China</t>
  </si>
  <si>
    <t xml:space="preserve">Fee: DHL Express to India is about $12-25 (₹1,000-2,100) for a small parcel (zbotic.in cost guide; LCSC shows the exact figure in the cart), upper figure used. Duty: LCSC ships DAP, the buyer pays on arrival. Courier imports for personal use (CTH 9804) pay 10% BCD + 10% SWS on it + 18% IGST ≈ 31% from 1 Apr 2026; business imports are typically 25-35%. India has no duty-free threshold. Parcels with chips need a CHIMS registration (imports.gov.in) and DHL KYC before clearance.</t>
  </si>
  <si>
    <t xml:space="preserve">Free Registered Air Mail on orders over $50 (₹4,795); fee below that not found. Ships DAP, so the same ≈31% duty and IGST applies on arrival.</t>
  </si>
  <si>
    <t xml:space="preserve">India (Mumbai)</t>
  </si>
  <si>
    <t xml:space="preserve">Free shipping above ₹1,000 before GST (≈ ₹1,180 incl. GST); otherwise ₹45 + GST. Prices used include GST.</t>
  </si>
  <si>
    <t xml:space="preserve">India</t>
  </si>
  <si>
    <t xml:space="preserve">Free shipping above ₹499 (Robu pages disagree; one says free on all orders). The fee below ₹499 was not found. Prices include GST.</t>
  </si>
  <si>
    <t xml:space="preserve">Free shipping on prepaid orders above ₹500; fee below that not found. Price assumed GST-inclusive (not stated); add 18% here if the cart shows GST on top.</t>
  </si>
  <si>
    <t xml:space="preserve">JLCPCB stocks the sealed USB4730 only for boards it assembles; the part is not shipped loose. Price not found, so the line is left blank.</t>
  </si>
  <si>
    <t xml:space="preserve">Check: every BoM line has a vendor on this sheet</t>
  </si>
  <si>
    <t xml:space="preserve">Removed from the designer's V1.0 BoM</t>
  </si>
  <si>
    <t xml:space="preserve">Voice parts (MIC and SPEAKER blocks, schematic sheet 1) and the on-board power switch S6 (schematic sheet 4). The buzzer (LS1, Q1, R3, D2) stays.</t>
  </si>
  <si>
    <t xml:space="preserve">Manufacturer Part Number</t>
  </si>
  <si>
    <t xml:space="preserve">Value / part</t>
  </si>
  <si>
    <t xml:space="preserve">Qty</t>
  </si>
  <si>
    <t xml:space="preserve">Schematic block</t>
  </si>
  <si>
    <t xml:space="preserve">What it did / why removed</t>
  </si>
  <si>
    <t xml:space="preserve">Effect on V1.0 BoM line</t>
  </si>
  <si>
    <t xml:space="preserve">I²S MEMS microphone module</t>
  </si>
  <si>
    <t xml:space="preserve">MIC</t>
  </si>
  <si>
    <t xml:space="preserve">Voice capture</t>
  </si>
  <si>
    <t xml:space="preserve">Line deleted</t>
  </si>
  <si>
    <t xml:space="preserve">C2</t>
  </si>
  <si>
    <t xml:space="preserve">10uF 0603</t>
  </si>
  <si>
    <t xml:space="preserve">Mic VDD decoupling</t>
  </si>
  <si>
    <t xml:space="preserve">Line qty 3 → 2</t>
  </si>
  <si>
    <t xml:space="preserve">I²S class-D amplifier</t>
  </si>
  <si>
    <t xml:space="preserve">SPEAKER</t>
  </si>
  <si>
    <t xml:space="preserve">Speaker drive</t>
  </si>
  <si>
    <t xml:space="preserve">C6</t>
  </si>
  <si>
    <t xml:space="preserve">10µF 0603</t>
  </si>
  <si>
    <t xml:space="preserve">Amplifier VDD bulk decoupling</t>
  </si>
  <si>
    <t xml:space="preserve">Line qty 6 → 5</t>
  </si>
  <si>
    <t xml:space="preserve">C7</t>
  </si>
  <si>
    <t xml:space="preserve">100nF 0402</t>
  </si>
  <si>
    <t xml:space="preserve">Amplifier VDD decoupling</t>
  </si>
  <si>
    <t xml:space="preserve">Line qty 12 → 11</t>
  </si>
  <si>
    <t xml:space="preserve">R7</t>
  </si>
  <si>
    <t xml:space="preserve">100K 0402</t>
  </si>
  <si>
    <t xml:space="preserve">SD_MODE (SPK_SD) resistor to 3V3</t>
  </si>
  <si>
    <t xml:space="preserve">Line qty 4 → 2 (with R9)</t>
  </si>
  <si>
    <t xml:space="preserve">R9</t>
  </si>
  <si>
    <t xml:space="preserve">GAIN_SLOT to GND (gain select)</t>
  </si>
  <si>
    <t xml:space="preserve">Line qty 4 → 2 (with R7)</t>
  </si>
  <si>
    <t xml:space="preserve">Ferrite bead 30 Ω 0805</t>
  </si>
  <si>
    <t xml:space="preserve">Speaker output EMI filter</t>
  </si>
  <si>
    <t xml:space="preserve">470pF 0603</t>
  </si>
  <si>
    <t xml:space="preserve">Line deleted (BoM lists Yageo; this MPN is KEMET)</t>
  </si>
  <si>
    <t xml:space="preserve">J2</t>
  </si>
  <si>
    <t xml:space="preserve">JST PH 2-pin header</t>
  </si>
  <si>
    <t xml:space="preserve">Speaker connector</t>
  </si>
  <si>
    <t xml:space="preserve">Line qty 2 → 1</t>
  </si>
  <si>
    <t xml:space="preserve">Slide switch, 2 poles in parallel</t>
  </si>
  <si>
    <t xml:space="preserve">POWER (sheet 4)</t>
  </si>
  <si>
    <t xml:space="preserve">Power on/off between BATT+ and BATT_IN. Replaced by a panel-mounted rocker on the case, wired to a new 2-pin header (owner decision, 27-09-2026)</t>
  </si>
  <si>
    <t xml:space="preserve">Total removed</t>
  </si>
  <si>
    <t xml:space="preserve">Added</t>
  </si>
  <si>
    <t xml:space="preserve">New lines on the Priced BoM sheet.</t>
  </si>
  <si>
    <t xml:space="preserve">Part</t>
  </si>
  <si>
    <t xml:space="preserve">Why</t>
  </si>
  <si>
    <t xml:space="preserve">Effect on BoM</t>
  </si>
  <si>
    <t xml:space="preserve">J_SW (new)</t>
  </si>
  <si>
    <t xml:space="preserve">JST GH 2-pin SMT header, latching</t>
  </si>
  <si>
    <t xml:space="preserve">Takes BATT+ and BATT_IN to the case rocker in place of S6. GH, so the battery's PH plug cannot be put in it.</t>
  </si>
  <si>
    <t xml:space="preserve">New line</t>
  </si>
  <si>
    <t xml:space="preserve">Waterproof (IP65) snap-in mini rocker, SPST</t>
  </si>
  <si>
    <t xml:space="preserve">Power switch on the case wall (owner decision, 27-09-2026)</t>
  </si>
  <si>
    <t xml:space="preserve">JST GH 2-pin housing</t>
  </si>
  <si>
    <t xml:space="preserve">Plug for the switch lead</t>
  </si>
  <si>
    <t xml:space="preserve">JST GH crimp contacts</t>
  </si>
  <si>
    <t xml:space="preserve">Crimped onto the switch lead wires</t>
  </si>
  <si>
    <t xml:space="preserve">2.4 GHz adhesive FPC antenna, U.FL/MHF1</t>
  </si>
  <si>
    <t xml:space="preserve">The WROOM-1U has no antenna of its own; Bluetooth provisioning and firmware updates (over Bluetooth) need one</t>
  </si>
  <si>
    <t xml:space="preserve">Added on the PCB</t>
  </si>
  <si>
    <t xml:space="preserve">Check: V1.0 − removed + added</t>
  </si>
  <si>
    <t xml:space="preserve">DNP footprints in the removed blocks (not in the BoM, remove from the PCB layout): R6 (GAIN_SLOT pull-up), TP3 (SPK_SD test point).</t>
  </si>
  <si>
    <t xml:space="preserve">GPIOs freed on U1: IO4, IO5, IO6 (speaker I²S), IO15, IO16, IO17 (mic I²S), IO18 (SPK_SD), all RTC-capable. architecture.md §9 item 8 considers them for a direct keypad matrix.</t>
  </si>
  <si>
    <t xml:space="preserve">Design notes for the switch and antenna changes</t>
  </si>
  <si>
    <t xml:space="preserve">1. Power switch: put J_SW in the BATT+ → BATT_IN break exactly where S6 was, not in series with J3. Then the charger on BATT+ still charges the battery with the rocker OFF, as before. No firmware change: the MCU never sensed S6.</t>
  </si>
  <si>
    <t xml:space="preserve">2. Why not a second JST-PH 2-pin: the battery and switch plugs could be swapped. With the battery in the switch header and the switch lead in J3, turning the rocker ON ties BATT+ to GND and drives BATT_IN below GND through the buck's and fuel gauge's internal diodes, limited only by the pack. A JST-XH header or a PH 3-pin header does not prevent this, because a PH plug still fits their shrouds. JST GH or ZH does.</t>
  </si>
  <si>
    <t xml:space="preserve">3. Switch-on ringing: the lead adds inductance in front of C21 (2.2 µF), and TI's TPS6282x datasheet shows 4.7 µF at the input. Raise C21 to at least 4.7 µF and add some bulk capacitance on BATT_IN at J_SW. Check BATT_IN on a scope over about 20 switch-ons with a full cell (the buck's VIN absolute maximum is 6 V).</t>
  </si>
  <si>
    <t xml:space="preserve">4. Fuel gauge: it still sits on BATT_IN, after the switch, and now also sees the lead and contact resistance. Moving IC2 to BATT+ (architecture.md §9 item 5) belongs in the same revision.</t>
  </si>
  <si>
    <t xml:space="preserve">5. BATT+ now leaves the PCB on a wire: use packs with a protection circuit (or add a PTC), anchor the lead so it cannot chafe or be pinched by the lid gasket, and silkscreen 'BATT' and 'SW' next to the two headers.</t>
  </si>
  <si>
    <t xml:space="preserve">6. The rocker cuts power instantly: firmware must make flash writes (registration data, replay counters) power-loss safe.</t>
  </si>
  <si>
    <t xml:space="preserve">7. Antennas: the Wio-SX1262 also brings its RF out on a U.FL/IPEX socket, so the 868 MHz and 2.4 GHz cables use the same plug. Label them or use different cable lengths so they cannot be swapped at assembly. The 868 MHz antenna is still not in the BoM.</t>
  </si>
  <si>
    <t xml:space="preserve">8. Certification: Espressif certified the WROOM-1U with a 2.33 dBi monopole. A sticker dipole is a different antenna type, which matters for FCC-style module grants; India's WPC requirements for the 2.4 GHz radio were not checked.</t>
  </si>
</sst>
</file>

<file path=xl/styles.xml><?xml version="1.0" encoding="utf-8"?>
<styleSheet xmlns="http://schemas.openxmlformats.org/spreadsheetml/2006/main">
  <numFmts count="13">
    <numFmt numFmtId="164" formatCode="General"/>
    <numFmt numFmtId="165" formatCode="@"/>
    <numFmt numFmtId="166" formatCode="[$-4009]dddd&quot;, &quot;d\ mmmm&quot;, &quot;yyyy;@"/>
    <numFmt numFmtId="167" formatCode="General"/>
    <numFmt numFmtId="168" formatCode="0"/>
    <numFmt numFmtId="169" formatCode="0.00"/>
    <numFmt numFmtId="170" formatCode="\₹#,##0"/>
    <numFmt numFmtId="171" formatCode="\₹#,##0.00"/>
    <numFmt numFmtId="172" formatCode="\$#,##0.00"/>
    <numFmt numFmtId="173" formatCode="#,##0.0000"/>
    <numFmt numFmtId="174" formatCode="\₹#,##0.00;&quot;(₹&quot;#,##0.00\);\-"/>
    <numFmt numFmtId="175" formatCode="\₹#,##0;&quot;(₹&quot;#,##0\);\-"/>
    <numFmt numFmtId="176" formatCode="0%"/>
  </numFmts>
  <fonts count="29">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sz val="48"/>
      <color rgb="FFDC2626"/>
      <name val="Arial"/>
      <family val="2"/>
      <charset val="1"/>
    </font>
    <font>
      <b val="true"/>
      <sz val="18"/>
      <color theme="1"/>
      <name val="Calibri"/>
      <family val="2"/>
      <charset val="1"/>
    </font>
    <font>
      <b val="true"/>
      <sz val="11"/>
      <color theme="1"/>
      <name val="Calibri"/>
      <family val="2"/>
      <charset val="1"/>
    </font>
    <font>
      <b val="true"/>
      <sz val="12"/>
      <color rgb="FFDC2626"/>
      <name val="Calibri"/>
      <family val="2"/>
      <charset val="1"/>
    </font>
    <font>
      <sz val="12"/>
      <color theme="1"/>
      <name val="Calibri"/>
      <family val="2"/>
      <charset val="1"/>
    </font>
    <font>
      <b val="true"/>
      <sz val="12"/>
      <color theme="0"/>
      <name val="Calibri"/>
      <family val="2"/>
      <charset val="1"/>
    </font>
    <font>
      <sz val="9"/>
      <color theme="1"/>
      <name val="Calibri"/>
      <family val="2"/>
      <charset val="1"/>
    </font>
    <font>
      <b val="true"/>
      <sz val="22"/>
      <color rgb="FFDC2626"/>
      <name val="Arial"/>
      <family val="0"/>
      <charset val="1"/>
    </font>
    <font>
      <b val="true"/>
      <sz val="12"/>
      <name val="Calibri"/>
      <family val="0"/>
      <charset val="1"/>
    </font>
    <font>
      <b val="true"/>
      <sz val="11"/>
      <color rgb="FFDC2626"/>
      <name val="Calibri"/>
      <family val="0"/>
      <charset val="1"/>
    </font>
    <font>
      <sz val="11"/>
      <name val="Calibri"/>
      <family val="0"/>
      <charset val="1"/>
    </font>
    <font>
      <b val="true"/>
      <sz val="11"/>
      <color rgb="FF0000FF"/>
      <name val="Calibri"/>
      <family val="0"/>
      <charset val="1"/>
    </font>
    <font>
      <b val="true"/>
      <sz val="11"/>
      <name val="Calibri"/>
      <family val="0"/>
      <charset val="1"/>
    </font>
    <font>
      <i val="true"/>
      <sz val="10"/>
      <color rgb="FF4B5563"/>
      <name val="Calibri"/>
      <family val="0"/>
      <charset val="1"/>
    </font>
    <font>
      <b val="true"/>
      <sz val="11"/>
      <color rgb="FFFFFFFF"/>
      <name val="Calibri"/>
      <family val="0"/>
      <charset val="1"/>
    </font>
    <font>
      <sz val="11"/>
      <color rgb="FF0000FF"/>
      <name val="Calibri"/>
      <family val="0"/>
      <charset val="1"/>
    </font>
    <font>
      <u val="single"/>
      <sz val="11"/>
      <color rgb="FF1D4ED8"/>
      <name val="Calibri"/>
      <family val="0"/>
      <charset val="1"/>
    </font>
    <font>
      <i val="true"/>
      <sz val="11"/>
      <name val="Calibri"/>
      <family val="0"/>
      <charset val="1"/>
    </font>
    <font>
      <i val="true"/>
      <sz val="11"/>
      <color rgb="FF008000"/>
      <name val="Calibri"/>
      <family val="0"/>
      <charset val="1"/>
    </font>
    <font>
      <b val="true"/>
      <sz val="12"/>
      <color rgb="FFDC2626"/>
      <name val="Calibri"/>
      <family val="0"/>
      <charset val="1"/>
    </font>
    <font>
      <sz val="10"/>
      <name val="Arial"/>
      <family val="2"/>
    </font>
    <font>
      <b val="true"/>
      <sz val="18"/>
      <color rgb="FFDC2626"/>
      <name val="Arial"/>
      <family val="0"/>
      <charset val="1"/>
    </font>
    <font>
      <b val="true"/>
      <sz val="16"/>
      <color rgb="FFDC2626"/>
      <name val="Arial"/>
      <family val="0"/>
      <charset val="1"/>
    </font>
    <font>
      <sz val="11"/>
      <color rgb="FF008000"/>
      <name val="Calibri"/>
      <family val="0"/>
      <charset val="1"/>
    </font>
  </fonts>
  <fills count="7">
    <fill>
      <patternFill patternType="none"/>
    </fill>
    <fill>
      <patternFill patternType="gray125"/>
    </fill>
    <fill>
      <patternFill patternType="solid">
        <fgColor rgb="FFDC2626"/>
        <bgColor rgb="FF993300"/>
      </patternFill>
    </fill>
    <fill>
      <patternFill patternType="solid">
        <fgColor theme="8" tint="0.5999"/>
        <bgColor rgb="FF99CCFF"/>
      </patternFill>
    </fill>
    <fill>
      <patternFill patternType="solid">
        <fgColor rgb="FFFFFF00"/>
        <bgColor rgb="FFFFFF00"/>
      </patternFill>
    </fill>
    <fill>
      <patternFill patternType="solid">
        <fgColor rgb="FFFDECEC"/>
        <bgColor rgb="FFF3F4F6"/>
      </patternFill>
    </fill>
    <fill>
      <patternFill patternType="solid">
        <fgColor rgb="FFF3F4F6"/>
        <bgColor rgb="FFFDECEC"/>
      </patternFill>
    </fill>
  </fills>
  <borders count="26">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top style="medium"/>
      <bottom style="thin"/>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thin"/>
      <top style="medium"/>
      <bottom style="thin"/>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diagonal/>
    </border>
    <border diagonalUp="false" diagonalDown="false">
      <left style="medium"/>
      <right/>
      <top/>
      <bottom style="medium"/>
      <diagonal/>
    </border>
    <border diagonalUp="false" diagonalDown="false">
      <left style="thin">
        <color rgb="FF9CA3AF"/>
      </left>
      <right style="thin">
        <color rgb="FF9CA3AF"/>
      </right>
      <top style="thin">
        <color rgb="FF9CA3AF"/>
      </top>
      <bottom style="thin">
        <color rgb="FF9CA3AF"/>
      </bottom>
      <diagonal/>
    </border>
    <border diagonalUp="false" diagonalDown="false">
      <left/>
      <right/>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8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5" fontId="5" fillId="0" borderId="1" xfId="20" applyFont="true" applyBorder="true" applyAlignment="true" applyProtection="false">
      <alignment horizontal="general"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4" fontId="0" fillId="0" borderId="4" xfId="0" applyFont="false" applyBorder="true" applyAlignment="true" applyProtection="false">
      <alignment horizontal="right" vertical="bottom" textRotation="0" wrapText="false" indent="0" shrinkToFit="false"/>
      <protection locked="true" hidden="false"/>
    </xf>
    <xf numFmtId="165" fontId="7" fillId="0" borderId="5"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center" vertical="bottom" textRotation="0" wrapText="false" indent="0" shrinkToFit="false"/>
      <protection locked="true" hidden="false"/>
    </xf>
    <xf numFmtId="165" fontId="8" fillId="0" borderId="5"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5" fontId="10" fillId="2" borderId="7" xfId="0" applyFont="true" applyBorder="true" applyAlignment="true" applyProtection="false">
      <alignment horizontal="center" vertical="center" textRotation="0" wrapText="false" indent="0" shrinkToFit="false"/>
      <protection locked="true" hidden="false"/>
    </xf>
    <xf numFmtId="164" fontId="10" fillId="2" borderId="8" xfId="0" applyFont="true" applyBorder="true" applyAlignment="true" applyProtection="false">
      <alignment horizontal="center" vertical="center" textRotation="0" wrapText="false" indent="0" shrinkToFit="false"/>
      <protection locked="true" hidden="false"/>
    </xf>
    <xf numFmtId="164" fontId="10" fillId="2" borderId="9" xfId="0" applyFont="true" applyBorder="true" applyAlignment="true" applyProtection="false">
      <alignment horizontal="center" vertical="center" textRotation="0" wrapText="false" indent="0" shrinkToFit="false"/>
      <protection locked="true" hidden="false"/>
    </xf>
    <xf numFmtId="165" fontId="10" fillId="2" borderId="9" xfId="0" applyFont="true" applyBorder="true" applyAlignment="true" applyProtection="false">
      <alignment horizontal="center" vertical="center" textRotation="0" wrapText="false" indent="0" shrinkToFit="false"/>
      <protection locked="true" hidden="false"/>
    </xf>
    <xf numFmtId="164" fontId="10" fillId="2" borderId="10" xfId="0" applyFont="true" applyBorder="true" applyAlignment="true" applyProtection="false">
      <alignment horizontal="center" vertical="center" textRotation="0" wrapText="false" indent="0" shrinkToFit="false"/>
      <protection locked="true" hidden="false"/>
    </xf>
    <xf numFmtId="165" fontId="11" fillId="3" borderId="11" xfId="0" applyFont="true" applyBorder="true" applyAlignment="false" applyProtection="false">
      <alignment horizontal="general" vertical="bottom" textRotation="0" wrapText="false" indent="0" shrinkToFit="false"/>
      <protection locked="true" hidden="false"/>
    </xf>
    <xf numFmtId="164" fontId="0" fillId="3" borderId="12" xfId="0" applyFont="true" applyBorder="true" applyAlignment="false" applyProtection="false">
      <alignment horizontal="general" vertical="bottom" textRotation="0" wrapText="false" indent="0" shrinkToFit="false"/>
      <protection locked="true" hidden="false"/>
    </xf>
    <xf numFmtId="164" fontId="0" fillId="3" borderId="13" xfId="0" applyFont="true" applyBorder="true" applyAlignment="false" applyProtection="false">
      <alignment horizontal="general" vertical="bottom" textRotation="0" wrapText="false" indent="0" shrinkToFit="false"/>
      <protection locked="true" hidden="false"/>
    </xf>
    <xf numFmtId="165" fontId="0" fillId="3" borderId="13" xfId="0" applyFont="true" applyBorder="true" applyAlignment="false" applyProtection="false">
      <alignment horizontal="general" vertical="bottom" textRotation="0" wrapText="false" indent="0" shrinkToFit="false"/>
      <protection locked="true" hidden="false"/>
    </xf>
    <xf numFmtId="164" fontId="11" fillId="3" borderId="13" xfId="0" applyFont="true" applyBorder="true" applyAlignment="false" applyProtection="false">
      <alignment horizontal="general" vertical="bottom" textRotation="0" wrapText="false" indent="0" shrinkToFit="false"/>
      <protection locked="true" hidden="false"/>
    </xf>
    <xf numFmtId="164" fontId="11" fillId="3" borderId="14" xfId="0" applyFont="true" applyBorder="true" applyAlignment="true" applyProtection="false">
      <alignment horizontal="right" vertical="bottom" textRotation="0" wrapText="false" indent="0" shrinkToFit="false"/>
      <protection locked="true" hidden="false"/>
    </xf>
    <xf numFmtId="165" fontId="9" fillId="0" borderId="15" xfId="0" applyFont="true" applyBorder="true" applyAlignment="true" applyProtection="false">
      <alignment horizontal="left" vertical="center" textRotation="0" wrapText="true" indent="0" shrinkToFit="false"/>
      <protection locked="true" hidden="false"/>
    </xf>
    <xf numFmtId="164" fontId="9" fillId="0" borderId="16" xfId="0" applyFont="true" applyBorder="true" applyAlignment="true" applyProtection="false">
      <alignment horizontal="left" vertical="center" textRotation="0" wrapText="true" indent="0" shrinkToFit="false"/>
      <protection locked="true" hidden="false"/>
    </xf>
    <xf numFmtId="164" fontId="9" fillId="0" borderId="17" xfId="0" applyFont="true" applyBorder="true" applyAlignment="true" applyProtection="false">
      <alignment horizontal="left" vertical="center" textRotation="0" wrapText="true" indent="0" shrinkToFit="false"/>
      <protection locked="true" hidden="false"/>
    </xf>
    <xf numFmtId="165" fontId="9" fillId="0" borderId="17" xfId="0" applyFont="true" applyBorder="true" applyAlignment="true" applyProtection="false">
      <alignment horizontal="left" vertical="center" textRotation="0" wrapText="true" indent="0" shrinkToFit="false"/>
      <protection locked="true" hidden="false"/>
    </xf>
    <xf numFmtId="164" fontId="9" fillId="0" borderId="18" xfId="0" applyFont="true" applyBorder="true" applyAlignment="true" applyProtection="false">
      <alignment horizontal="right" vertical="center" textRotation="0" wrapText="true" indent="0" shrinkToFit="false"/>
      <protection locked="true" hidden="false"/>
    </xf>
    <xf numFmtId="165" fontId="9" fillId="0" borderId="7" xfId="0" applyFont="true" applyBorder="true" applyAlignment="true" applyProtection="false">
      <alignment horizontal="left" vertical="center" textRotation="0" wrapText="true" indent="0" shrinkToFit="false"/>
      <protection locked="true" hidden="false"/>
    </xf>
    <xf numFmtId="164" fontId="9" fillId="0" borderId="8" xfId="0" applyFont="true" applyBorder="true" applyAlignment="true" applyProtection="false">
      <alignment horizontal="left" vertical="center" textRotation="0" wrapText="true" indent="0" shrinkToFit="false"/>
      <protection locked="true" hidden="false"/>
    </xf>
    <xf numFmtId="164" fontId="9" fillId="0" borderId="9" xfId="0" applyFont="true" applyBorder="true" applyAlignment="true" applyProtection="false">
      <alignment horizontal="left" vertical="center" textRotation="0" wrapText="true" indent="0" shrinkToFit="false"/>
      <protection locked="true" hidden="false"/>
    </xf>
    <xf numFmtId="165" fontId="9" fillId="0" borderId="9" xfId="0" applyFont="true" applyBorder="true" applyAlignment="true" applyProtection="false">
      <alignment horizontal="left" vertical="center" textRotation="0" wrapText="true" indent="0" shrinkToFit="false"/>
      <protection locked="true" hidden="false"/>
    </xf>
    <xf numFmtId="164" fontId="9" fillId="0" borderId="10" xfId="0" applyFont="true" applyBorder="true" applyAlignment="true" applyProtection="false">
      <alignment horizontal="right" vertical="center" textRotation="0" wrapText="true" indent="0" shrinkToFit="false"/>
      <protection locked="true" hidden="false"/>
    </xf>
    <xf numFmtId="165" fontId="9" fillId="0" borderId="19"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5" fontId="9" fillId="0" borderId="20" xfId="0" applyFont="true" applyBorder="true" applyAlignment="false" applyProtection="false">
      <alignment horizontal="general" vertical="bottom" textRotation="0" wrapText="false" indent="0" shrinkToFit="false"/>
      <protection locked="true" hidden="false"/>
    </xf>
    <xf numFmtId="167" fontId="9" fillId="0" borderId="21" xfId="0" applyFont="true" applyBorder="true" applyAlignment="true" applyProtection="false">
      <alignment horizontal="right"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4" fontId="0" fillId="0" borderId="22" xfId="0" applyFont="true" applyBorder="true" applyAlignment="true" applyProtection="false">
      <alignment horizontal="left" vertical="bottom" textRotation="0" wrapText="false" indent="0" shrinkToFit="false"/>
      <protection locked="true" hidden="false"/>
    </xf>
    <xf numFmtId="165" fontId="0" fillId="0" borderId="23"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false" applyProtection="false">
      <alignment horizontal="general" vertical="bottom" textRotation="0" wrapText="false" indent="0" shrinkToFit="false"/>
      <protection locked="true" hidden="false"/>
    </xf>
    <xf numFmtId="165" fontId="0" fillId="0" borderId="20" xfId="0" applyFont="false" applyBorder="true" applyAlignment="false" applyProtection="false">
      <alignment horizontal="general" vertical="bottom" textRotation="0" wrapText="false" indent="0" shrinkToFit="false"/>
      <protection locked="true" hidden="false"/>
    </xf>
    <xf numFmtId="164" fontId="0" fillId="0" borderId="21" xfId="0" applyFont="false" applyBorder="tru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8" fontId="16" fillId="4" borderId="24" xfId="0" applyFont="true" applyBorder="true" applyAlignment="true" applyProtection="false">
      <alignment horizontal="right" vertical="bottom" textRotation="0" wrapText="false" indent="0" shrinkToFit="false"/>
      <protection locked="true" hidden="false"/>
    </xf>
    <xf numFmtId="168" fontId="17" fillId="0" borderId="24" xfId="0" applyFont="true" applyBorder="true" applyAlignment="true" applyProtection="false">
      <alignment horizontal="right" vertical="bottom" textRotation="0" wrapText="false" indent="0" shrinkToFit="false"/>
      <protection locked="true" hidden="false"/>
    </xf>
    <xf numFmtId="169" fontId="16" fillId="4" borderId="24" xfId="0" applyFont="true" applyBorder="true" applyAlignment="true" applyProtection="false">
      <alignment horizontal="right" vertical="bottom" textRotation="0" wrapText="false" indent="0" shrinkToFit="false"/>
      <protection locked="true" hidden="false"/>
    </xf>
    <xf numFmtId="170" fontId="17" fillId="0" borderId="24"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1" fontId="17" fillId="5" borderId="24" xfId="0" applyFont="true" applyBorder="true" applyAlignment="true" applyProtection="false">
      <alignment horizontal="right" vertical="bottom" textRotation="0" wrapText="false" indent="0" shrinkToFit="false"/>
      <protection locked="true" hidden="false"/>
    </xf>
    <xf numFmtId="172" fontId="17" fillId="0" borderId="24" xfId="0" applyFont="true" applyBorder="true" applyAlignment="true" applyProtection="false">
      <alignment horizontal="right" vertical="bottom" textRotation="0" wrapText="false" indent="0" shrinkToFit="false"/>
      <protection locked="true" hidden="false"/>
    </xf>
    <xf numFmtId="171" fontId="17" fillId="0" borderId="24" xfId="0" applyFont="true" applyBorder="true" applyAlignment="true" applyProtection="false">
      <alignment horizontal="right"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2" borderId="24" xfId="0" applyFont="true" applyBorder="true" applyAlignment="true" applyProtection="false">
      <alignment horizontal="center" vertical="center" textRotation="0" wrapText="true" indent="0" shrinkToFit="false"/>
      <protection locked="true" hidden="false"/>
    </xf>
    <xf numFmtId="164" fontId="15" fillId="0" borderId="24" xfId="0" applyFont="true" applyBorder="true" applyAlignment="true" applyProtection="false">
      <alignment horizontal="center" vertical="top" textRotation="0" wrapText="false" indent="0" shrinkToFit="false"/>
      <protection locked="true" hidden="false"/>
    </xf>
    <xf numFmtId="164" fontId="15" fillId="0" borderId="24" xfId="0" applyFont="true" applyBorder="true" applyAlignment="true" applyProtection="false">
      <alignment horizontal="general" vertical="top" textRotation="0" wrapText="true" indent="0" shrinkToFit="false"/>
      <protection locked="true" hidden="false"/>
    </xf>
    <xf numFmtId="164" fontId="20" fillId="0" borderId="24" xfId="0" applyFont="true" applyBorder="true" applyAlignment="true" applyProtection="false">
      <alignment horizontal="center" vertical="top" textRotation="0" wrapText="false" indent="0" shrinkToFit="false"/>
      <protection locked="true" hidden="false"/>
    </xf>
    <xf numFmtId="164" fontId="20" fillId="0" borderId="24" xfId="0" applyFont="true" applyBorder="true" applyAlignment="true" applyProtection="false">
      <alignment horizontal="general" vertical="top" textRotation="0" wrapText="true" indent="0" shrinkToFit="false"/>
      <protection locked="true" hidden="false"/>
    </xf>
    <xf numFmtId="173" fontId="20" fillId="0" borderId="24" xfId="0" applyFont="true" applyBorder="true" applyAlignment="true" applyProtection="false">
      <alignment horizontal="general" vertical="top" textRotation="0" wrapText="true" indent="0" shrinkToFit="false"/>
      <protection locked="true" hidden="false"/>
    </xf>
    <xf numFmtId="174" fontId="15" fillId="0" borderId="24" xfId="0" applyFont="true" applyBorder="true" applyAlignment="true" applyProtection="false">
      <alignment horizontal="general" vertical="top" textRotation="0" wrapText="true" indent="0" shrinkToFit="false"/>
      <protection locked="true" hidden="false"/>
    </xf>
    <xf numFmtId="164" fontId="21" fillId="0" borderId="24" xfId="0" applyFont="true" applyBorder="true" applyAlignment="true" applyProtection="false">
      <alignment horizontal="general" vertical="top" textRotation="0" wrapText="true" indent="0" shrinkToFit="false"/>
      <protection locked="true" hidden="false"/>
    </xf>
    <xf numFmtId="164" fontId="15" fillId="5" borderId="24" xfId="0" applyFont="true" applyBorder="true" applyAlignment="true" applyProtection="false">
      <alignment horizontal="general" vertical="top" textRotation="0" wrapText="true" indent="0" shrinkToFit="false"/>
      <protection locked="true" hidden="false"/>
    </xf>
    <xf numFmtId="173" fontId="20" fillId="4" borderId="24" xfId="0" applyFont="true" applyBorder="true" applyAlignment="true" applyProtection="false">
      <alignment horizontal="general" vertical="top" textRotation="0" wrapText="true" indent="0" shrinkToFit="false"/>
      <protection locked="true" hidden="false"/>
    </xf>
    <xf numFmtId="164" fontId="15" fillId="6" borderId="24" xfId="0" applyFont="true" applyBorder="true" applyAlignment="true" applyProtection="false">
      <alignment horizontal="center" vertical="top" textRotation="0" wrapText="false" indent="0" shrinkToFit="false"/>
      <protection locked="true" hidden="false"/>
    </xf>
    <xf numFmtId="168" fontId="17" fillId="0" borderId="25"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70" fontId="17" fillId="0" borderId="25" xfId="0" applyFont="true" applyBorder="true" applyAlignment="true" applyProtection="false">
      <alignment horizontal="right" vertical="bottom" textRotation="0" wrapText="false" indent="0" shrinkToFit="false"/>
      <protection locked="true" hidden="false"/>
    </xf>
    <xf numFmtId="171" fontId="17" fillId="0" borderId="25" xfId="0" applyFont="true" applyBorder="true" applyAlignment="true" applyProtection="false">
      <alignment horizontal="right"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5" fontId="20" fillId="4" borderId="24" xfId="0" applyFont="true" applyBorder="true" applyAlignment="true" applyProtection="false">
      <alignment horizontal="general" vertical="top" textRotation="0" wrapText="true" indent="0" shrinkToFit="false"/>
      <protection locked="true" hidden="false"/>
    </xf>
    <xf numFmtId="176" fontId="20" fillId="4" borderId="24" xfId="0" applyFont="true" applyBorder="true" applyAlignment="true" applyProtection="false">
      <alignment horizontal="general" vertical="top" textRotation="0" wrapText="true" indent="0" shrinkToFit="false"/>
      <protection locked="true" hidden="false"/>
    </xf>
    <xf numFmtId="175" fontId="15" fillId="0" borderId="24"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0" fillId="0" borderId="24" xfId="0" applyFont="true" applyBorder="true" applyAlignment="true" applyProtection="false">
      <alignment horizontal="center" vertical="top" textRotation="0" wrapText="true" indent="0" shrinkToFit="false"/>
      <protection locked="true" hidden="false"/>
    </xf>
    <xf numFmtId="167" fontId="17" fillId="0" borderId="0" xfId="0" applyFont="true" applyBorder="false" applyAlignment="true" applyProtection="false">
      <alignment horizontal="center" vertical="bottom" textRotation="0" wrapText="false" indent="0" shrinkToFit="false"/>
      <protection locked="true" hidden="false"/>
    </xf>
    <xf numFmtId="167" fontId="28" fillId="0" borderId="0" xfId="0" applyFont="true" applyBorder="false" applyAlignment="true" applyProtection="fals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8">
    <dxf>
      <fill>
        <patternFill patternType="solid">
          <fgColor rgb="FFDC2626"/>
          <bgColor rgb="FF000000"/>
        </patternFill>
      </fill>
    </dxf>
    <dxf>
      <fill>
        <patternFill patternType="solid">
          <bgColor rgb="FF000000"/>
        </patternFill>
      </fill>
    </dxf>
    <dxf>
      <fill>
        <patternFill patternType="solid">
          <fgColor rgb="FFFFFFFF"/>
          <bgColor rgb="FF000000"/>
        </patternFill>
      </fill>
    </dxf>
    <dxf>
      <fill>
        <patternFill patternType="solid">
          <fgColor rgb="FFF3F4F6"/>
          <bgColor rgb="FF000000"/>
        </patternFill>
      </fill>
    </dxf>
    <dxf>
      <fill>
        <patternFill patternType="solid">
          <fgColor rgb="FF0000FF"/>
          <bgColor rgb="FF000000"/>
        </patternFill>
      </fill>
    </dxf>
    <dxf>
      <fill>
        <patternFill patternType="solid">
          <fgColor rgb="FFFFFF00"/>
          <bgColor rgb="FF000000"/>
        </patternFill>
      </fill>
    </dxf>
    <dxf>
      <fill>
        <patternFill patternType="solid">
          <fgColor rgb="FF1D4ED8"/>
          <bgColor rgb="FF000000"/>
        </patternFill>
      </fill>
    </dxf>
    <dxf>
      <fill>
        <patternFill patternType="solid">
          <fgColor rgb="FFFDECEC"/>
          <bgColor rgb="FF000000"/>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4F6"/>
      <rgbColor rgb="FFCCFFFF"/>
      <rgbColor rgb="FF660066"/>
      <rgbColor rgb="FFFF8080"/>
      <rgbColor rgb="FF1D4ED8"/>
      <rgbColor rgb="FFB7DEE8"/>
      <rgbColor rgb="FF000080"/>
      <rgbColor rgb="FFFF00FF"/>
      <rgbColor rgb="FFFFFF00"/>
      <rgbColor rgb="FF00FFFF"/>
      <rgbColor rgb="FF800080"/>
      <rgbColor rgb="FF800000"/>
      <rgbColor rgb="FF008080"/>
      <rgbColor rgb="FF0000FF"/>
      <rgbColor rgb="FF00CCFF"/>
      <rgbColor rgb="FFCCFFFF"/>
      <rgbColor rgb="FFCCFFCC"/>
      <rgbColor rgb="FFFDECEC"/>
      <rgbColor rgb="FF99CCFF"/>
      <rgbColor rgb="FFFF99CC"/>
      <rgbColor rgb="FFCC99FF"/>
      <rgbColor rgb="FFFFCC99"/>
      <rgbColor rgb="FF3366FF"/>
      <rgbColor rgb="FF33CCCC"/>
      <rgbColor rgb="FF99CC00"/>
      <rgbColor rgb="FFFFCC00"/>
      <rgbColor rgb="FFFF9900"/>
      <rgbColor rgb="FFFF6600"/>
      <rgbColor rgb="FF4B5563"/>
      <rgbColor rgb="FF9CA3AF"/>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robu.in/product-category/batteries/batteries-batteries/lithium-polymer-battery-packs/single-cell-micro-lipo-battery/" TargetMode="External"/><Relationship Id="rId3" Type="http://schemas.openxmlformats.org/officeDocument/2006/relationships/hyperlink" Target="https://www.lcsc.com/product-detail/C19702.html" TargetMode="External"/><Relationship Id="rId4" Type="http://schemas.openxmlformats.org/officeDocument/2006/relationships/hyperlink" Target="https://www.lcsc.com/product-detail/C19702.html" TargetMode="External"/><Relationship Id="rId5" Type="http://schemas.openxmlformats.org/officeDocument/2006/relationships/hyperlink" Target="https://www.lcsc.com/product-detail/C105883.html" TargetMode="External"/><Relationship Id="rId6" Type="http://schemas.openxmlformats.org/officeDocument/2006/relationships/hyperlink" Target="https://www.lcsc.com/product-detail/multilayer-ceramic-capacitors-mlcc-smd-smt_murata-electronics-grm188z71c225ke43j_C21794833.html" TargetMode="External"/><Relationship Id="rId7" Type="http://schemas.openxmlformats.org/officeDocument/2006/relationships/hyperlink" Target="https://www.lcsc.com/product-detail/ESD-Protection-Devices_STMicroelectronics_C1975146.html" TargetMode="External"/><Relationship Id="rId8" Type="http://schemas.openxmlformats.org/officeDocument/2006/relationships/hyperlink" Target="https://lcsc.com/product-detail/Diodes-General-Purpose_MDD-Microdiode-Electronics-SM4007PL_C64898.html" TargetMode="External"/><Relationship Id="rId9" Type="http://schemas.openxmlformats.org/officeDocument/2006/relationships/hyperlink" Target="https://www.lcsc.com/product-detail/C125104.html" TargetMode="External"/><Relationship Id="rId10" Type="http://schemas.openxmlformats.org/officeDocument/2006/relationships/hyperlink" Target="https://www.seeedstudio.com/Wio-SX1262-Wireless-Module-p-5981.html" TargetMode="External"/><Relationship Id="rId11" Type="http://schemas.openxmlformats.org/officeDocument/2006/relationships/hyperlink" Target="https://www.lcsc.com/product-detail/C2682616.html" TargetMode="External"/><Relationship Id="rId12" Type="http://schemas.openxmlformats.org/officeDocument/2006/relationships/hyperlink" Target="https://www.lcsc.com/product-detail/C2650334.html" TargetMode="External"/><Relationship Id="rId13" Type="http://schemas.openxmlformats.org/officeDocument/2006/relationships/hyperlink" Target="https://jlcpcb.com/partdetail/GCT-USB4730_GF_AKIT/C20598701" TargetMode="External"/><Relationship Id="rId14" Type="http://schemas.openxmlformats.org/officeDocument/2006/relationships/hyperlink" Target="https://www.lcsc.com/product-detail/C2683610.html" TargetMode="External"/><Relationship Id="rId15" Type="http://schemas.openxmlformats.org/officeDocument/2006/relationships/hyperlink" Target="https://www.lcsc.com/product-detail/Power-Inductors_Murata-Electronics-DFE252012F-R47M-P2_C703140.html" TargetMode="External"/><Relationship Id="rId16" Type="http://schemas.openxmlformats.org/officeDocument/2006/relationships/hyperlink" Target="https://www.lcsc.com/product-detail/Buzzers_CUI-CMT-0904-85T_C3811834.html" TargetMode="External"/><Relationship Id="rId17" Type="http://schemas.openxmlformats.org/officeDocument/2006/relationships/hyperlink" Target="https://www.lcsc.com/product-detail/Transistors-NPN-PNP_BC847B_C181140.html" TargetMode="External"/><Relationship Id="rId18" Type="http://schemas.openxmlformats.org/officeDocument/2006/relationships/hyperlink" Target="https://lcsc.com/product-detail/Chip-Resistor-Surface-Mount_Uniroyal-Elec-0603WAF5101T5E_C23186.html" TargetMode="External"/><Relationship Id="rId19" Type="http://schemas.openxmlformats.org/officeDocument/2006/relationships/hyperlink" Target="https://www.lcsc.com/product-detail/Chip-Resistor-Surface-Mount_Uniroyal-Elec-0402WGF2200TCE_C25091.html" TargetMode="External"/><Relationship Id="rId20" Type="http://schemas.openxmlformats.org/officeDocument/2006/relationships/hyperlink" Target="https://lcsc.com/product-detail/Chip-Resistor-Surface-Mount-UniOhm_100KR-1003-1_C25741.html" TargetMode="External"/><Relationship Id="rId21" Type="http://schemas.openxmlformats.org/officeDocument/2006/relationships/hyperlink" Target="https://lcsc.com/product-detail/Chip-Resistor-Surface-Mount_Uniroyal-Elec-0402WGF1002TCE_C25744.html" TargetMode="External"/><Relationship Id="rId22" Type="http://schemas.openxmlformats.org/officeDocument/2006/relationships/hyperlink" Target="https://lcsc.com/product-detail/Chip-Resistor-Surface-Mount_Uniroyal-Elec-0603WAF330JT5E_C23140.html" TargetMode="External"/><Relationship Id="rId23" Type="http://schemas.openxmlformats.org/officeDocument/2006/relationships/hyperlink" Target="https://www.lcsc.com/product-detail/C21190.html" TargetMode="External"/><Relationship Id="rId24" Type="http://schemas.openxmlformats.org/officeDocument/2006/relationships/hyperlink" Target="https://www.lcsc.com/product-detail/tactile-switches_cui-ts11-674-50-bk-260-ra-d_C6290621.html" TargetMode="External"/><Relationship Id="rId25" Type="http://schemas.openxmlformats.org/officeDocument/2006/relationships/hyperlink" Target="https://www.lcsc.com/product-detail/tactile-switches_cui-ts04-66-85-bk-260-smt-tr_C20183374.html" TargetMode="External"/><Relationship Id="rId26" Type="http://schemas.openxmlformats.org/officeDocument/2006/relationships/hyperlink" Target="https://evelta.com/esp32-s3-wroom-1u-n16r8-wi-fi-ble-module-transceiver-16mb-flash-ipex-antenna-connector/" TargetMode="External"/><Relationship Id="rId27" Type="http://schemas.openxmlformats.org/officeDocument/2006/relationships/hyperlink" Target="https://quartzcomponents.com/products/oled-display-0-96-inch-i2c-interface-4-pin-blue-ssd1306" TargetMode="External"/><Relationship Id="rId28" Type="http://schemas.openxmlformats.org/officeDocument/2006/relationships/hyperlink" Target="https://www.lcsc.com/product-detail/C627668.html" TargetMode="External"/><Relationship Id="rId29" Type="http://schemas.openxmlformats.org/officeDocument/2006/relationships/hyperlink" Target="https://www.lcsc.com/product-detail/C161690.html" TargetMode="External"/><Relationship Id="rId30" Type="http://schemas.openxmlformats.org/officeDocument/2006/relationships/hyperlink" Target="https://evelta.com/waterproof-rocker-switch-on-off-2pin-black-button-kcd1-2-101w/" TargetMode="External"/><Relationship Id="rId31" Type="http://schemas.openxmlformats.org/officeDocument/2006/relationships/hyperlink" Target="https://www.lcsc.com/product-detail/Rectangular-Connectors-Housings_JST-Sales-America-GHR-02V-S_C160416.html" TargetMode="External"/><Relationship Id="rId32" Type="http://schemas.openxmlformats.org/officeDocument/2006/relationships/hyperlink" Target="https://www.lcsc.com/product-detail/C189897.html" TargetMode="External"/><Relationship Id="rId33" Type="http://schemas.openxmlformats.org/officeDocument/2006/relationships/hyperlink" Target="https://lcsc.com/product-detail/RF-Antenna_MOLEX_146153-0100_146153-0100_C152350.html" TargetMode="External"/><Relationship Id="rId34" Type="http://schemas.openxmlformats.org/officeDocument/2006/relationships/drawing" Target="../drawings/drawing1.xml"/><Relationship Id="rId35"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J53"/>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selection pane="topLeft" activeCell="B52" activeCellId="0" sqref="B52"/>
    </sheetView>
  </sheetViews>
  <sheetFormatPr defaultColWidth="8.5390625" defaultRowHeight="14.25" zeroHeight="false" outlineLevelRow="0" outlineLevelCol="0"/>
  <cols>
    <col collapsed="false" customWidth="true" hidden="false" outlineLevel="0" max="2" min="2" style="1" width="32.22"/>
    <col collapsed="false" customWidth="true" hidden="false" outlineLevel="0" max="3" min="3" style="0" width="44"/>
    <col collapsed="false" customWidth="true" hidden="false" outlineLevel="0" max="4" min="4" style="0" width="27.78"/>
    <col collapsed="false" customWidth="true" hidden="false" outlineLevel="0" max="5" min="5" style="0" width="16.78"/>
    <col collapsed="false" customWidth="true" hidden="false" outlineLevel="0" max="6" min="6" style="1" width="21.56"/>
    <col collapsed="false" customWidth="true" hidden="false" outlineLevel="0" max="7" min="7" style="0" width="17.56"/>
    <col collapsed="false" customWidth="true" hidden="false" outlineLevel="0" max="8" min="8" style="0" width="21.22"/>
    <col collapsed="false" customWidth="true" hidden="false" outlineLevel="0" max="9" min="9" style="0" width="24.33"/>
    <col collapsed="false" customWidth="true" hidden="false" outlineLevel="0" max="10" min="10" style="2" width="16.89"/>
  </cols>
  <sheetData>
    <row r="1" customFormat="false" ht="15" hidden="false" customHeight="true" outlineLevel="0" collapsed="false"/>
    <row r="2" customFormat="false" ht="60" hidden="false" customHeight="true" outlineLevel="0" collapsed="false">
      <c r="B2" s="3" t="s">
        <v>0</v>
      </c>
      <c r="C2" s="4"/>
      <c r="D2" s="5" t="s">
        <v>1</v>
      </c>
      <c r="E2" s="5"/>
      <c r="F2" s="5"/>
      <c r="G2" s="5"/>
      <c r="H2" s="6" t="s">
        <v>2</v>
      </c>
      <c r="I2" s="7"/>
      <c r="J2" s="8"/>
    </row>
    <row r="3" customFormat="false" ht="14.25" hidden="false" customHeight="true" outlineLevel="0" collapsed="false">
      <c r="B3" s="9"/>
      <c r="C3" s="10"/>
      <c r="D3" s="5"/>
      <c r="E3" s="5"/>
      <c r="F3" s="5"/>
      <c r="G3" s="5"/>
      <c r="H3" s="11"/>
      <c r="I3" s="11"/>
      <c r="J3" s="11"/>
    </row>
    <row r="4" customFormat="false" ht="15" hidden="false" customHeight="true" outlineLevel="0" collapsed="false">
      <c r="B4" s="12" t="s">
        <v>3</v>
      </c>
      <c r="C4" s="13" t="s">
        <v>4</v>
      </c>
      <c r="D4" s="5"/>
      <c r="E4" s="5"/>
      <c r="F4" s="5"/>
      <c r="G4" s="5"/>
      <c r="H4" s="11"/>
      <c r="I4" s="11"/>
      <c r="J4" s="11"/>
    </row>
    <row r="5" customFormat="false" ht="15" hidden="false" customHeight="true" outlineLevel="0" collapsed="false">
      <c r="B5" s="12" t="s">
        <v>5</v>
      </c>
      <c r="C5" s="13" t="s">
        <v>6</v>
      </c>
      <c r="D5" s="5"/>
      <c r="E5" s="5"/>
      <c r="F5" s="5"/>
      <c r="G5" s="5"/>
      <c r="H5" s="11"/>
      <c r="I5" s="11"/>
      <c r="J5" s="11"/>
    </row>
    <row r="6" customFormat="false" ht="15" hidden="false" customHeight="true" outlineLevel="0" collapsed="false">
      <c r="B6" s="12" t="s">
        <v>7</v>
      </c>
      <c r="C6" s="13" t="s">
        <v>8</v>
      </c>
      <c r="D6" s="5"/>
      <c r="E6" s="5"/>
      <c r="F6" s="5"/>
      <c r="G6" s="5"/>
      <c r="H6" s="11"/>
      <c r="I6" s="11"/>
      <c r="J6" s="11"/>
    </row>
    <row r="7" customFormat="false" ht="15" hidden="false" customHeight="true" outlineLevel="0" collapsed="false">
      <c r="B7" s="12" t="s">
        <v>9</v>
      </c>
      <c r="C7" s="14" t="s">
        <v>10</v>
      </c>
      <c r="D7" s="5"/>
      <c r="E7" s="5"/>
      <c r="F7" s="5"/>
      <c r="G7" s="5"/>
      <c r="H7" s="11"/>
      <c r="I7" s="11"/>
      <c r="J7" s="11"/>
    </row>
    <row r="8" customFormat="false" ht="15" hidden="false" customHeight="true" outlineLevel="0" collapsed="false">
      <c r="B8" s="12" t="s">
        <v>11</v>
      </c>
      <c r="C8" s="13" t="s">
        <v>1</v>
      </c>
      <c r="D8" s="5"/>
      <c r="E8" s="5"/>
      <c r="F8" s="5"/>
      <c r="G8" s="5"/>
      <c r="H8" s="11"/>
      <c r="I8" s="11"/>
      <c r="J8" s="11"/>
    </row>
    <row r="9" customFormat="false" ht="15" hidden="false" customHeight="true" outlineLevel="0" collapsed="false">
      <c r="B9" s="12"/>
      <c r="C9" s="13"/>
      <c r="D9" s="5"/>
      <c r="E9" s="5"/>
      <c r="F9" s="5"/>
      <c r="G9" s="5"/>
      <c r="H9" s="11"/>
      <c r="I9" s="11"/>
      <c r="J9" s="11"/>
    </row>
    <row r="10" s="15" customFormat="true" ht="17.25" hidden="false" customHeight="true" outlineLevel="0" collapsed="false">
      <c r="B10" s="16" t="s">
        <v>12</v>
      </c>
      <c r="C10" s="17" t="s">
        <v>13</v>
      </c>
      <c r="D10" s="18" t="s">
        <v>14</v>
      </c>
      <c r="E10" s="18" t="s">
        <v>15</v>
      </c>
      <c r="F10" s="19" t="s">
        <v>16</v>
      </c>
      <c r="G10" s="18" t="s">
        <v>17</v>
      </c>
      <c r="H10" s="18" t="s">
        <v>18</v>
      </c>
      <c r="I10" s="18" t="s">
        <v>19</v>
      </c>
      <c r="J10" s="20" t="s">
        <v>20</v>
      </c>
    </row>
    <row r="11" customFormat="false" ht="21" hidden="true" customHeight="true" outlineLevel="0" collapsed="false">
      <c r="B11" s="21" t="s">
        <v>21</v>
      </c>
      <c r="C11" s="22" t="s">
        <v>13</v>
      </c>
      <c r="D11" s="23" t="s">
        <v>14</v>
      </c>
      <c r="E11" s="23" t="s">
        <v>15</v>
      </c>
      <c r="F11" s="24" t="s">
        <v>22</v>
      </c>
      <c r="G11" s="25" t="s">
        <v>23</v>
      </c>
      <c r="H11" s="25" t="s">
        <v>24</v>
      </c>
      <c r="I11" s="25" t="s">
        <v>25</v>
      </c>
      <c r="J11" s="26" t="s">
        <v>20</v>
      </c>
    </row>
    <row r="12" customFormat="false" ht="75" hidden="false" customHeight="true" outlineLevel="0" collapsed="false">
      <c r="B12" s="27" t="s">
        <v>26</v>
      </c>
      <c r="C12" s="28"/>
      <c r="D12" s="29" t="s">
        <v>27</v>
      </c>
      <c r="E12" s="29"/>
      <c r="F12" s="30"/>
      <c r="G12" s="29"/>
      <c r="H12" s="29"/>
      <c r="I12" s="29"/>
      <c r="J12" s="31" t="n">
        <v>1</v>
      </c>
    </row>
    <row r="13" customFormat="false" ht="75" hidden="false" customHeight="true" outlineLevel="0" collapsed="false">
      <c r="B13" s="32" t="s">
        <v>28</v>
      </c>
      <c r="C13" s="33" t="s">
        <v>29</v>
      </c>
      <c r="D13" s="34" t="s">
        <v>30</v>
      </c>
      <c r="E13" s="34" t="s">
        <v>31</v>
      </c>
      <c r="F13" s="35" t="s">
        <v>32</v>
      </c>
      <c r="G13" s="34" t="s">
        <v>33</v>
      </c>
      <c r="H13" s="34" t="s">
        <v>34</v>
      </c>
      <c r="I13" s="34" t="s">
        <v>28</v>
      </c>
      <c r="J13" s="36" t="n">
        <v>6</v>
      </c>
    </row>
    <row r="14" customFormat="false" ht="75" hidden="false" customHeight="true" outlineLevel="0" collapsed="false">
      <c r="B14" s="27" t="s">
        <v>35</v>
      </c>
      <c r="C14" s="28" t="s">
        <v>36</v>
      </c>
      <c r="D14" s="29" t="s">
        <v>37</v>
      </c>
      <c r="E14" s="29" t="s">
        <v>38</v>
      </c>
      <c r="F14" s="30" t="s">
        <v>32</v>
      </c>
      <c r="G14" s="29" t="s">
        <v>39</v>
      </c>
      <c r="H14" s="29" t="s">
        <v>40</v>
      </c>
      <c r="I14" s="29" t="s">
        <v>41</v>
      </c>
      <c r="J14" s="31" t="n">
        <v>3</v>
      </c>
    </row>
    <row r="15" customFormat="false" ht="75" hidden="false" customHeight="true" outlineLevel="0" collapsed="false">
      <c r="B15" s="32" t="s">
        <v>42</v>
      </c>
      <c r="C15" s="33" t="s">
        <v>43</v>
      </c>
      <c r="D15" s="34" t="s">
        <v>44</v>
      </c>
      <c r="E15" s="34" t="s">
        <v>45</v>
      </c>
      <c r="F15" s="35" t="s">
        <v>46</v>
      </c>
      <c r="G15" s="34" t="s">
        <v>47</v>
      </c>
      <c r="H15" s="34" t="s">
        <v>40</v>
      </c>
      <c r="I15" s="34" t="s">
        <v>48</v>
      </c>
      <c r="J15" s="36" t="n">
        <v>12</v>
      </c>
    </row>
    <row r="16" customFormat="false" ht="75" hidden="false" customHeight="true" outlineLevel="0" collapsed="false">
      <c r="B16" s="27" t="s">
        <v>49</v>
      </c>
      <c r="C16" s="28" t="s">
        <v>50</v>
      </c>
      <c r="D16" s="29" t="s">
        <v>51</v>
      </c>
      <c r="E16" s="29" t="s">
        <v>52</v>
      </c>
      <c r="F16" s="30" t="s">
        <v>32</v>
      </c>
      <c r="G16" s="29" t="s">
        <v>47</v>
      </c>
      <c r="H16" s="29" t="s">
        <v>40</v>
      </c>
      <c r="I16" s="29" t="s">
        <v>53</v>
      </c>
      <c r="J16" s="31" t="n">
        <v>2</v>
      </c>
    </row>
    <row r="17" customFormat="false" ht="75" hidden="false" customHeight="true" outlineLevel="0" collapsed="false">
      <c r="B17" s="32" t="s">
        <v>54</v>
      </c>
      <c r="C17" s="33" t="s">
        <v>55</v>
      </c>
      <c r="D17" s="34" t="s">
        <v>56</v>
      </c>
      <c r="E17" s="34" t="s">
        <v>57</v>
      </c>
      <c r="F17" s="35" t="s">
        <v>32</v>
      </c>
      <c r="G17" s="34" t="s">
        <v>39</v>
      </c>
      <c r="H17" s="34" t="s">
        <v>40</v>
      </c>
      <c r="I17" s="34" t="s">
        <v>58</v>
      </c>
      <c r="J17" s="36" t="n">
        <v>1</v>
      </c>
    </row>
    <row r="18" customFormat="false" ht="75" hidden="false" customHeight="true" outlineLevel="0" collapsed="false">
      <c r="B18" s="27" t="s">
        <v>59</v>
      </c>
      <c r="C18" s="28" t="s">
        <v>60</v>
      </c>
      <c r="D18" s="29" t="s">
        <v>61</v>
      </c>
      <c r="E18" s="29"/>
      <c r="F18" s="30"/>
      <c r="G18" s="29" t="s">
        <v>62</v>
      </c>
      <c r="H18" s="29" t="s">
        <v>40</v>
      </c>
      <c r="I18" s="29" t="s">
        <v>63</v>
      </c>
      <c r="J18" s="31" t="n">
        <v>2</v>
      </c>
    </row>
    <row r="19" customFormat="false" ht="75" hidden="false" customHeight="true" outlineLevel="0" collapsed="false">
      <c r="B19" s="32" t="s">
        <v>64</v>
      </c>
      <c r="C19" s="33" t="s">
        <v>65</v>
      </c>
      <c r="D19" s="34" t="s">
        <v>66</v>
      </c>
      <c r="E19" s="34"/>
      <c r="F19" s="35"/>
      <c r="G19" s="34" t="s">
        <v>67</v>
      </c>
      <c r="H19" s="34" t="s">
        <v>40</v>
      </c>
      <c r="I19" s="34" t="s">
        <v>68</v>
      </c>
      <c r="J19" s="36" t="n">
        <v>1</v>
      </c>
    </row>
    <row r="20" customFormat="false" ht="75" hidden="false" customHeight="true" outlineLevel="0" collapsed="false">
      <c r="B20" s="27" t="s">
        <v>69</v>
      </c>
      <c r="C20" s="28"/>
      <c r="D20" s="29" t="s">
        <v>70</v>
      </c>
      <c r="E20" s="29"/>
      <c r="F20" s="30"/>
      <c r="G20" s="29" t="s">
        <v>71</v>
      </c>
      <c r="H20" s="29" t="s">
        <v>40</v>
      </c>
      <c r="I20" s="29" t="s">
        <v>72</v>
      </c>
      <c r="J20" s="31" t="n">
        <v>1</v>
      </c>
    </row>
    <row r="21" customFormat="false" ht="75" hidden="false" customHeight="true" outlineLevel="0" collapsed="false">
      <c r="B21" s="32" t="s">
        <v>73</v>
      </c>
      <c r="C21" s="33" t="s">
        <v>74</v>
      </c>
      <c r="D21" s="34" t="s">
        <v>75</v>
      </c>
      <c r="E21" s="34"/>
      <c r="F21" s="35" t="s">
        <v>76</v>
      </c>
      <c r="G21" s="34" t="s">
        <v>77</v>
      </c>
      <c r="H21" s="34" t="s">
        <v>40</v>
      </c>
      <c r="I21" s="34" t="s">
        <v>78</v>
      </c>
      <c r="J21" s="36" t="n">
        <v>2</v>
      </c>
    </row>
    <row r="22" customFormat="false" ht="75" hidden="false" customHeight="true" outlineLevel="0" collapsed="false">
      <c r="B22" s="27" t="s">
        <v>79</v>
      </c>
      <c r="C22" s="28" t="s">
        <v>80</v>
      </c>
      <c r="D22" s="29" t="s">
        <v>81</v>
      </c>
      <c r="E22" s="29"/>
      <c r="F22" s="30"/>
      <c r="G22" s="29" t="s">
        <v>82</v>
      </c>
      <c r="H22" s="29" t="s">
        <v>40</v>
      </c>
      <c r="I22" s="29" t="s">
        <v>83</v>
      </c>
      <c r="J22" s="31" t="n">
        <v>1</v>
      </c>
    </row>
    <row r="23" customFormat="false" ht="75" hidden="false" customHeight="true" outlineLevel="0" collapsed="false">
      <c r="B23" s="32" t="s">
        <v>84</v>
      </c>
      <c r="C23" s="33" t="s">
        <v>80</v>
      </c>
      <c r="D23" s="34" t="s">
        <v>85</v>
      </c>
      <c r="E23" s="34"/>
      <c r="F23" s="35"/>
      <c r="G23" s="34" t="s">
        <v>86</v>
      </c>
      <c r="H23" s="34" t="s">
        <v>40</v>
      </c>
      <c r="I23" s="34" t="s">
        <v>87</v>
      </c>
      <c r="J23" s="36" t="n">
        <v>1</v>
      </c>
    </row>
    <row r="24" customFormat="false" ht="75" hidden="false" customHeight="true" outlineLevel="0" collapsed="false">
      <c r="B24" s="27" t="s">
        <v>88</v>
      </c>
      <c r="C24" s="28" t="s">
        <v>80</v>
      </c>
      <c r="D24" s="29" t="s">
        <v>89</v>
      </c>
      <c r="E24" s="29"/>
      <c r="F24" s="30"/>
      <c r="G24" s="29" t="s">
        <v>90</v>
      </c>
      <c r="H24" s="29" t="s">
        <v>40</v>
      </c>
      <c r="I24" s="29" t="s">
        <v>91</v>
      </c>
      <c r="J24" s="31" t="n">
        <v>1</v>
      </c>
    </row>
    <row r="25" customFormat="false" ht="75" hidden="false" customHeight="true" outlineLevel="0" collapsed="false">
      <c r="B25" s="32" t="s">
        <v>92</v>
      </c>
      <c r="C25" s="33" t="s">
        <v>93</v>
      </c>
      <c r="D25" s="34" t="s">
        <v>94</v>
      </c>
      <c r="E25" s="34"/>
      <c r="F25" s="35"/>
      <c r="G25" s="34" t="s">
        <v>95</v>
      </c>
      <c r="H25" s="34" t="s">
        <v>40</v>
      </c>
      <c r="I25" s="34" t="s">
        <v>96</v>
      </c>
      <c r="J25" s="36" t="n">
        <v>1</v>
      </c>
    </row>
    <row r="26" customFormat="false" ht="75" hidden="false" customHeight="true" outlineLevel="0" collapsed="false">
      <c r="B26" s="27" t="s">
        <v>97</v>
      </c>
      <c r="C26" s="28" t="s">
        <v>98</v>
      </c>
      <c r="D26" s="29" t="s">
        <v>99</v>
      </c>
      <c r="E26" s="29"/>
      <c r="F26" s="30"/>
      <c r="G26" s="29" t="s">
        <v>100</v>
      </c>
      <c r="H26" s="29" t="s">
        <v>101</v>
      </c>
      <c r="I26" s="29" t="s">
        <v>97</v>
      </c>
      <c r="J26" s="31" t="n">
        <v>2</v>
      </c>
    </row>
    <row r="27" customFormat="false" ht="75" hidden="false" customHeight="true" outlineLevel="0" collapsed="false">
      <c r="B27" s="32" t="s">
        <v>102</v>
      </c>
      <c r="C27" s="33" t="s">
        <v>103</v>
      </c>
      <c r="D27" s="34" t="s">
        <v>104</v>
      </c>
      <c r="E27" s="34"/>
      <c r="F27" s="35" t="s">
        <v>105</v>
      </c>
      <c r="G27" s="34" t="s">
        <v>106</v>
      </c>
      <c r="H27" s="34" t="s">
        <v>40</v>
      </c>
      <c r="I27" s="34" t="s">
        <v>107</v>
      </c>
      <c r="J27" s="36" t="n">
        <v>1</v>
      </c>
    </row>
    <row r="28" customFormat="false" ht="75" hidden="false" customHeight="true" outlineLevel="0" collapsed="false">
      <c r="B28" s="27" t="s">
        <v>108</v>
      </c>
      <c r="C28" s="28"/>
      <c r="D28" s="29" t="s">
        <v>109</v>
      </c>
      <c r="E28" s="29"/>
      <c r="F28" s="30"/>
      <c r="G28" s="29" t="s">
        <v>110</v>
      </c>
      <c r="H28" s="29" t="s">
        <v>40</v>
      </c>
      <c r="I28" s="29" t="s">
        <v>111</v>
      </c>
      <c r="J28" s="31" t="n">
        <v>1</v>
      </c>
    </row>
    <row r="29" customFormat="false" ht="75" hidden="false" customHeight="true" outlineLevel="0" collapsed="false">
      <c r="B29" s="32" t="s">
        <v>112</v>
      </c>
      <c r="C29" s="33"/>
      <c r="D29" s="34" t="s">
        <v>113</v>
      </c>
      <c r="E29" s="34"/>
      <c r="F29" s="35"/>
      <c r="G29" s="34"/>
      <c r="H29" s="34"/>
      <c r="I29" s="34"/>
      <c r="J29" s="36" t="n">
        <v>1</v>
      </c>
    </row>
    <row r="30" customFormat="false" ht="75" hidden="false" customHeight="true" outlineLevel="0" collapsed="false">
      <c r="B30" s="27" t="s">
        <v>114</v>
      </c>
      <c r="C30" s="28" t="s">
        <v>115</v>
      </c>
      <c r="D30" s="29" t="s">
        <v>116</v>
      </c>
      <c r="E30" s="29"/>
      <c r="F30" s="30"/>
      <c r="G30" s="29" t="s">
        <v>117</v>
      </c>
      <c r="H30" s="29"/>
      <c r="I30" s="29"/>
      <c r="J30" s="31" t="n">
        <v>1</v>
      </c>
    </row>
    <row r="31" customFormat="false" ht="75" hidden="false" customHeight="true" outlineLevel="0" collapsed="false">
      <c r="B31" s="32" t="s">
        <v>118</v>
      </c>
      <c r="C31" s="33" t="s">
        <v>119</v>
      </c>
      <c r="D31" s="34" t="s">
        <v>120</v>
      </c>
      <c r="E31" s="34" t="s">
        <v>121</v>
      </c>
      <c r="F31" s="35" t="s">
        <v>32</v>
      </c>
      <c r="G31" s="34" t="s">
        <v>47</v>
      </c>
      <c r="H31" s="34" t="s">
        <v>40</v>
      </c>
      <c r="I31" s="34" t="s">
        <v>122</v>
      </c>
      <c r="J31" s="36" t="n">
        <v>2</v>
      </c>
    </row>
    <row r="32" customFormat="false" ht="75" hidden="false" customHeight="true" outlineLevel="0" collapsed="false">
      <c r="B32" s="27" t="s">
        <v>123</v>
      </c>
      <c r="C32" s="28" t="s">
        <v>124</v>
      </c>
      <c r="D32" s="29" t="s">
        <v>125</v>
      </c>
      <c r="E32" s="29" t="s">
        <v>126</v>
      </c>
      <c r="F32" s="30" t="s">
        <v>46</v>
      </c>
      <c r="G32" s="29" t="s">
        <v>127</v>
      </c>
      <c r="H32" s="29"/>
      <c r="I32" s="29"/>
      <c r="J32" s="31" t="n">
        <v>1</v>
      </c>
    </row>
    <row r="33" customFormat="false" ht="75" hidden="false" customHeight="true" outlineLevel="0" collapsed="false">
      <c r="B33" s="32" t="s">
        <v>128</v>
      </c>
      <c r="C33" s="33" t="s">
        <v>129</v>
      </c>
      <c r="D33" s="34" t="s">
        <v>130</v>
      </c>
      <c r="E33" s="34" t="s">
        <v>131</v>
      </c>
      <c r="F33" s="35" t="s">
        <v>46</v>
      </c>
      <c r="G33" s="34" t="s">
        <v>132</v>
      </c>
      <c r="H33" s="34" t="s">
        <v>40</v>
      </c>
      <c r="I33" s="34" t="s">
        <v>133</v>
      </c>
      <c r="J33" s="36" t="n">
        <v>4</v>
      </c>
    </row>
    <row r="34" customFormat="false" ht="75" hidden="false" customHeight="true" outlineLevel="0" collapsed="false">
      <c r="B34" s="27" t="s">
        <v>134</v>
      </c>
      <c r="C34" s="28" t="s">
        <v>135</v>
      </c>
      <c r="D34" s="29" t="s">
        <v>136</v>
      </c>
      <c r="E34" s="29" t="s">
        <v>137</v>
      </c>
      <c r="F34" s="30" t="s">
        <v>46</v>
      </c>
      <c r="G34" s="29" t="s">
        <v>47</v>
      </c>
      <c r="H34" s="29" t="s">
        <v>40</v>
      </c>
      <c r="I34" s="29" t="s">
        <v>138</v>
      </c>
      <c r="J34" s="31" t="n">
        <v>7</v>
      </c>
    </row>
    <row r="35" customFormat="false" ht="75" hidden="false" customHeight="true" outlineLevel="0" collapsed="false">
      <c r="B35" s="32" t="s">
        <v>139</v>
      </c>
      <c r="C35" s="33" t="s">
        <v>140</v>
      </c>
      <c r="D35" s="34" t="s">
        <v>141</v>
      </c>
      <c r="E35" s="34" t="s">
        <v>142</v>
      </c>
      <c r="F35" s="35" t="s">
        <v>32</v>
      </c>
      <c r="G35" s="34" t="s">
        <v>143</v>
      </c>
      <c r="H35" s="34" t="s">
        <v>40</v>
      </c>
      <c r="I35" s="34" t="s">
        <v>144</v>
      </c>
      <c r="J35" s="36" t="n">
        <v>3</v>
      </c>
    </row>
    <row r="36" customFormat="false" ht="75" hidden="false" customHeight="true" outlineLevel="0" collapsed="false">
      <c r="B36" s="27" t="s">
        <v>145</v>
      </c>
      <c r="C36" s="28" t="s">
        <v>146</v>
      </c>
      <c r="D36" s="29" t="s">
        <v>147</v>
      </c>
      <c r="E36" s="29" t="s">
        <v>148</v>
      </c>
      <c r="F36" s="30" t="s">
        <v>32</v>
      </c>
      <c r="G36" s="29" t="s">
        <v>47</v>
      </c>
      <c r="H36" s="29" t="s">
        <v>40</v>
      </c>
      <c r="I36" s="29" t="s">
        <v>149</v>
      </c>
      <c r="J36" s="31" t="n">
        <v>2</v>
      </c>
    </row>
    <row r="37" customFormat="false" ht="75" hidden="false" customHeight="true" outlineLevel="0" collapsed="false">
      <c r="B37" s="32" t="s">
        <v>150</v>
      </c>
      <c r="C37" s="33"/>
      <c r="D37" s="34" t="s">
        <v>151</v>
      </c>
      <c r="E37" s="34"/>
      <c r="F37" s="35"/>
      <c r="G37" s="34" t="s">
        <v>110</v>
      </c>
      <c r="H37" s="34" t="s">
        <v>40</v>
      </c>
      <c r="I37" s="34" t="s">
        <v>152</v>
      </c>
      <c r="J37" s="36" t="n">
        <v>1</v>
      </c>
    </row>
    <row r="38" customFormat="false" ht="75" hidden="false" customHeight="true" outlineLevel="0" collapsed="false">
      <c r="B38" s="27" t="s">
        <v>153</v>
      </c>
      <c r="C38" s="28"/>
      <c r="D38" s="29" t="s">
        <v>154</v>
      </c>
      <c r="E38" s="29"/>
      <c r="F38" s="30"/>
      <c r="G38" s="29" t="s">
        <v>110</v>
      </c>
      <c r="H38" s="29" t="s">
        <v>40</v>
      </c>
      <c r="I38" s="29" t="s">
        <v>155</v>
      </c>
      <c r="J38" s="31" t="n">
        <v>4</v>
      </c>
    </row>
    <row r="39" customFormat="false" ht="75" hidden="false" customHeight="true" outlineLevel="0" collapsed="false">
      <c r="B39" s="32" t="s">
        <v>156</v>
      </c>
      <c r="C39" s="33"/>
      <c r="D39" s="34" t="s">
        <v>157</v>
      </c>
      <c r="E39" s="34"/>
      <c r="F39" s="35"/>
      <c r="G39" s="34" t="s">
        <v>95</v>
      </c>
      <c r="H39" s="34" t="s">
        <v>40</v>
      </c>
      <c r="I39" s="34" t="s">
        <v>158</v>
      </c>
      <c r="J39" s="36" t="n">
        <v>1</v>
      </c>
    </row>
    <row r="40" customFormat="false" ht="75" hidden="false" customHeight="true" outlineLevel="0" collapsed="false">
      <c r="B40" s="27" t="s">
        <v>159</v>
      </c>
      <c r="C40" s="28"/>
      <c r="D40" s="29" t="s">
        <v>160</v>
      </c>
      <c r="E40" s="29"/>
      <c r="F40" s="30"/>
      <c r="G40" s="29" t="s">
        <v>161</v>
      </c>
      <c r="H40" s="29" t="s">
        <v>40</v>
      </c>
      <c r="I40" s="29" t="s">
        <v>162</v>
      </c>
      <c r="J40" s="31" t="n">
        <v>1</v>
      </c>
    </row>
    <row r="41" customFormat="false" ht="75" hidden="false" customHeight="true" outlineLevel="0" collapsed="false">
      <c r="B41" s="32" t="s">
        <v>163</v>
      </c>
      <c r="C41" s="33" t="s">
        <v>164</v>
      </c>
      <c r="D41" s="34" t="s">
        <v>165</v>
      </c>
      <c r="E41" s="34"/>
      <c r="F41" s="35"/>
      <c r="G41" s="34" t="s">
        <v>86</v>
      </c>
      <c r="H41" s="34" t="s">
        <v>40</v>
      </c>
      <c r="I41" s="34" t="s">
        <v>166</v>
      </c>
      <c r="J41" s="36" t="n">
        <v>1</v>
      </c>
    </row>
    <row r="42" customFormat="false" ht="75" hidden="false" customHeight="true" outlineLevel="0" collapsed="false">
      <c r="B42" s="27" t="s">
        <v>167</v>
      </c>
      <c r="C42" s="28" t="s">
        <v>168</v>
      </c>
      <c r="D42" s="29" t="s">
        <v>169</v>
      </c>
      <c r="E42" s="29"/>
      <c r="F42" s="30"/>
      <c r="G42" s="29"/>
      <c r="H42" s="29"/>
      <c r="I42" s="29"/>
      <c r="J42" s="31" t="n">
        <v>1</v>
      </c>
    </row>
    <row r="43" customFormat="false" ht="75" hidden="false" customHeight="true" outlineLevel="0" collapsed="false">
      <c r="B43" s="32" t="s">
        <v>170</v>
      </c>
      <c r="C43" s="33" t="s">
        <v>171</v>
      </c>
      <c r="D43" s="34" t="s">
        <v>172</v>
      </c>
      <c r="E43" s="34"/>
      <c r="F43" s="35" t="s">
        <v>173</v>
      </c>
      <c r="G43" s="34" t="s">
        <v>174</v>
      </c>
      <c r="H43" s="34" t="s">
        <v>40</v>
      </c>
      <c r="I43" s="34" t="s">
        <v>175</v>
      </c>
      <c r="J43" s="36" t="n">
        <v>1</v>
      </c>
    </row>
    <row r="44" customFormat="false" ht="15.75" hidden="false" customHeight="true" outlineLevel="0" collapsed="false">
      <c r="B44" s="37"/>
      <c r="C44" s="38"/>
      <c r="D44" s="38"/>
      <c r="E44" s="38"/>
      <c r="F44" s="39"/>
      <c r="G44" s="38"/>
      <c r="H44" s="38"/>
      <c r="I44" s="38"/>
      <c r="J44" s="40" t="n">
        <f aca="false">SUM(J12:J43)</f>
        <v>70</v>
      </c>
    </row>
    <row r="46" customFormat="false" ht="14.25" hidden="false" customHeight="true" outlineLevel="0" collapsed="false"/>
    <row r="47" customFormat="false" ht="14.25" hidden="false" customHeight="false" outlineLevel="0" collapsed="false">
      <c r="B47" s="41" t="s">
        <v>176</v>
      </c>
      <c r="C47" s="4"/>
      <c r="D47" s="4"/>
      <c r="E47" s="4"/>
      <c r="F47" s="42"/>
      <c r="G47" s="4"/>
      <c r="H47" s="4"/>
      <c r="I47" s="4"/>
      <c r="J47" s="8"/>
    </row>
    <row r="48" customFormat="false" ht="14.25" hidden="false" customHeight="false" outlineLevel="0" collapsed="false">
      <c r="B48" s="43" t="s">
        <v>177</v>
      </c>
      <c r="C48" s="43"/>
      <c r="D48" s="43"/>
      <c r="E48" s="43"/>
      <c r="F48" s="43"/>
      <c r="G48" s="43"/>
      <c r="H48" s="43"/>
      <c r="I48" s="43"/>
      <c r="J48" s="43"/>
    </row>
    <row r="49" customFormat="false" ht="14.25" hidden="false" customHeight="false" outlineLevel="0" collapsed="false">
      <c r="B49" s="43" t="s">
        <v>178</v>
      </c>
      <c r="C49" s="43"/>
      <c r="D49" s="43"/>
      <c r="E49" s="43"/>
      <c r="F49" s="43"/>
      <c r="G49" s="43"/>
      <c r="H49" s="43"/>
      <c r="I49" s="43"/>
      <c r="J49" s="43"/>
    </row>
    <row r="50" customFormat="false" ht="14.25" hidden="false" customHeight="false" outlineLevel="0" collapsed="false">
      <c r="B50" s="43"/>
      <c r="C50" s="43"/>
      <c r="D50" s="43"/>
      <c r="E50" s="43"/>
      <c r="F50" s="43"/>
      <c r="G50" s="43"/>
      <c r="H50" s="43"/>
      <c r="I50" s="43"/>
      <c r="J50" s="43"/>
    </row>
    <row r="51" customFormat="false" ht="14.25" hidden="false" customHeight="false" outlineLevel="0" collapsed="false">
      <c r="B51" s="43"/>
      <c r="C51" s="43"/>
      <c r="D51" s="43"/>
      <c r="E51" s="43"/>
      <c r="F51" s="43"/>
      <c r="G51" s="43"/>
      <c r="H51" s="43"/>
      <c r="I51" s="43"/>
      <c r="J51" s="43"/>
    </row>
    <row r="52" customFormat="false" ht="14.25" hidden="false" customHeight="false" outlineLevel="0" collapsed="false">
      <c r="B52" s="43"/>
      <c r="C52" s="43"/>
      <c r="D52" s="43"/>
      <c r="E52" s="43"/>
      <c r="F52" s="43"/>
      <c r="G52" s="43"/>
      <c r="H52" s="43"/>
      <c r="I52" s="43"/>
      <c r="J52" s="43"/>
    </row>
    <row r="53" customFormat="false" ht="15" hidden="false" customHeight="true" outlineLevel="0" collapsed="false">
      <c r="B53" s="44"/>
      <c r="C53" s="45"/>
      <c r="D53" s="45"/>
      <c r="E53" s="45"/>
      <c r="F53" s="46"/>
      <c r="G53" s="45"/>
      <c r="H53" s="45"/>
      <c r="I53" s="45"/>
      <c r="J53" s="47"/>
    </row>
  </sheetData>
  <mergeCells count="7">
    <mergeCell ref="D2:G9"/>
    <mergeCell ref="H3:J9"/>
    <mergeCell ref="B48:J48"/>
    <mergeCell ref="B49:J49"/>
    <mergeCell ref="B50:J50"/>
    <mergeCell ref="B51:J51"/>
    <mergeCell ref="B52:J52"/>
  </mergeCells>
  <printOptions headings="false" gridLines="false" gridLinesSet="true" horizontalCentered="false" verticalCentered="false"/>
  <pageMargins left="0.236111111111111" right="0.236111111111111" top="0.747916666666667" bottom="0.748611111111111" header="0.315277777777778" footer="0.315277777777778"/>
  <pageSetup paperSize="1" scale="100" fitToWidth="1" fitToHeight="1" pageOrder="downThenOver" orientation="landscape" blackAndWhite="false" draft="false" cellComments="none" horizontalDpi="300" verticalDpi="300" copies="1"/>
  <headerFooter differentFirst="false" differentOddEven="false">
    <oddHeader>&amp;L&amp;24 &amp;F&amp;C&amp;"Calibri,Bold"&amp;24  Confidential&amp;R&amp;A</oddHeader>
    <oddFooter>&amp;LDesigned by NSquare Bros&amp;Cwww.nsquarebros.com&amp;RPage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2626"/>
    <pageSetUpPr fitToPage="true"/>
  </sheetPr>
  <dimension ref="B2:AA6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4" ySplit="17" topLeftCell="E18" activePane="bottomRight" state="frozen"/>
      <selection pane="topLeft" activeCell="A1" activeCellId="0" sqref="A1"/>
      <selection pane="topRight" activeCell="E1" activeCellId="0" sqref="E1"/>
      <selection pane="bottomLeft" activeCell="A18" activeCellId="0" sqref="A18"/>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4"/>
    <col collapsed="false" customWidth="true" hidden="false" outlineLevel="0" max="4" min="4" style="0" width="36"/>
    <col collapsed="false" customWidth="true" hidden="false" outlineLevel="0" max="5" min="5" style="0" width="20"/>
    <col collapsed="false" customWidth="true" hidden="false" outlineLevel="0" max="7" min="6" style="0" width="8"/>
    <col collapsed="false" customWidth="true" hidden="false" outlineLevel="0" max="8" min="8" style="0" width="9"/>
    <col collapsed="false" customWidth="true" hidden="false" outlineLevel="0" max="9" min="9" style="0" width="7"/>
    <col collapsed="false" customWidth="true" hidden="false" outlineLevel="0" max="10" min="10" style="0" width="16"/>
    <col collapsed="false" customWidth="true" hidden="false" outlineLevel="0" max="11" min="11" style="0" width="30"/>
    <col collapsed="false" customWidth="true" hidden="false" outlineLevel="0" max="12" min="12" style="0" width="24"/>
    <col collapsed="false" customWidth="true" hidden="false" outlineLevel="0" max="13" min="13" style="0" width="10"/>
    <col collapsed="false" customWidth="true" hidden="false" outlineLevel="0" max="14" min="14" style="0" width="9"/>
    <col collapsed="false" customWidth="true" hidden="false" outlineLevel="0" max="15" min="15" style="0" width="12"/>
    <col collapsed="false" customWidth="true" hidden="false" outlineLevel="0" max="18" min="16" style="0" width="8"/>
    <col collapsed="false" customWidth="true" hidden="false" outlineLevel="0" max="19" min="19" style="0" width="10"/>
    <col collapsed="false" customWidth="true" hidden="false" outlineLevel="0" max="20" min="20" style="0" width="11"/>
    <col collapsed="false" customWidth="true" hidden="false" outlineLevel="0" max="21" min="21" style="0" width="12"/>
    <col collapsed="false" customWidth="true" hidden="false" outlineLevel="0" max="23" min="22" style="0" width="11"/>
    <col collapsed="false" customWidth="true" hidden="false" outlineLevel="0" max="24" min="24" style="0" width="8"/>
    <col collapsed="false" customWidth="true" hidden="false" outlineLevel="0" max="25" min="25" style="0" width="36"/>
    <col collapsed="false" customWidth="true" hidden="false" outlineLevel="0" max="26" min="26" style="0" width="20"/>
    <col collapsed="false" customWidth="true" hidden="false" outlineLevel="0" max="27" min="27" style="0" width="46"/>
  </cols>
  <sheetData>
    <row r="2" customFormat="false" ht="26.8" hidden="false" customHeight="false" outlineLevel="0" collapsed="false">
      <c r="B2" s="48" t="s">
        <v>179</v>
      </c>
    </row>
    <row r="3" customFormat="false" ht="15" hidden="false" customHeight="false" outlineLevel="0" collapsed="false">
      <c r="B3" s="49" t="s">
        <v>180</v>
      </c>
    </row>
    <row r="4" customFormat="false" ht="15" hidden="false" customHeight="false" outlineLevel="0" collapsed="false">
      <c r="C4" s="50" t="s">
        <v>3</v>
      </c>
      <c r="D4" s="51" t="s">
        <v>4</v>
      </c>
      <c r="E4" s="52" t="s">
        <v>181</v>
      </c>
      <c r="K4" s="52" t="s">
        <v>182</v>
      </c>
    </row>
    <row r="5" customFormat="false" ht="15" hidden="false" customHeight="false" outlineLevel="0" collapsed="false">
      <c r="C5" s="50" t="s">
        <v>183</v>
      </c>
      <c r="D5" s="51" t="s">
        <v>184</v>
      </c>
      <c r="E5" s="51" t="s">
        <v>185</v>
      </c>
      <c r="H5" s="53" t="n">
        <v>15</v>
      </c>
      <c r="K5" s="51" t="s">
        <v>186</v>
      </c>
      <c r="L5" s="54" t="n">
        <f aca="false">COUNTA($C$18:$C$49)</f>
        <v>32</v>
      </c>
    </row>
    <row r="6" customFormat="false" ht="15" hidden="false" customHeight="false" outlineLevel="0" collapsed="false">
      <c r="C6" s="50" t="s">
        <v>7</v>
      </c>
      <c r="D6" s="51" t="s">
        <v>187</v>
      </c>
      <c r="E6" s="51" t="s">
        <v>188</v>
      </c>
      <c r="H6" s="55" t="n">
        <v>95.89</v>
      </c>
      <c r="K6" s="51" t="s">
        <v>189</v>
      </c>
      <c r="L6" s="54" t="n">
        <f aca="false">SUMIF($F$18:$F$49,"PCB",$I$18:$I$49)</f>
        <v>58</v>
      </c>
    </row>
    <row r="7" customFormat="false" ht="15" hidden="false" customHeight="false" outlineLevel="0" collapsed="false">
      <c r="C7" s="50" t="s">
        <v>190</v>
      </c>
      <c r="D7" s="51" t="s">
        <v>191</v>
      </c>
      <c r="K7" s="51" t="s">
        <v>192</v>
      </c>
      <c r="L7" s="56" t="n">
        <f aca="false">SUM($T$18:$T$49)</f>
        <v>28889.015655</v>
      </c>
    </row>
    <row r="8" customFormat="false" ht="15" hidden="false" customHeight="false" outlineLevel="0" collapsed="false">
      <c r="K8" s="51" t="s">
        <v>193</v>
      </c>
      <c r="L8" s="56" t="n">
        <f aca="false">'Vendors &amp; shipping'!H13</f>
        <v>2100</v>
      </c>
    </row>
    <row r="9" customFormat="false" ht="15" hidden="false" customHeight="false" outlineLevel="0" collapsed="false">
      <c r="K9" s="51" t="s">
        <v>194</v>
      </c>
      <c r="L9" s="56" t="n">
        <f aca="false">'Vendors &amp; shipping'!I13</f>
        <v>5265.63385305</v>
      </c>
    </row>
    <row r="10" customFormat="false" ht="15" hidden="false" customHeight="false" outlineLevel="0" collapsed="false">
      <c r="K10" s="51" t="s">
        <v>195</v>
      </c>
      <c r="L10" s="56" t="n">
        <f aca="false">SUM($U$18:$U$49)</f>
        <v>36254.64950805</v>
      </c>
    </row>
    <row r="11" customFormat="false" ht="15" hidden="false" customHeight="false" outlineLevel="0" collapsed="false">
      <c r="K11" s="57" t="s">
        <v>196</v>
      </c>
      <c r="L11" s="58" t="n">
        <f aca="false">SUM($V$18:$V$49)</f>
        <v>2416.97663387</v>
      </c>
    </row>
    <row r="12" customFormat="false" ht="15" hidden="false" customHeight="false" outlineLevel="0" collapsed="false">
      <c r="K12" s="51" t="s">
        <v>197</v>
      </c>
      <c r="L12" s="59" t="n">
        <f aca="false">SUM($V$18:$V$49)/$H$6</f>
        <v>25.2057214920221</v>
      </c>
    </row>
    <row r="13" customFormat="false" ht="15" hidden="false" customHeight="false" outlineLevel="0" collapsed="false">
      <c r="K13" s="51" t="s">
        <v>198</v>
      </c>
      <c r="L13" s="60" t="n">
        <f aca="false">SUMIF($F$18:$F$49,"PCB",$V$18:$V$49)</f>
        <v>2189.36444609562</v>
      </c>
    </row>
    <row r="14" customFormat="false" ht="15" hidden="false" customHeight="false" outlineLevel="0" collapsed="false">
      <c r="K14" s="51" t="s">
        <v>199</v>
      </c>
      <c r="L14" s="60" t="n">
        <f aca="false">SUMIF($F$18:$F$49,"Case",$V$18:$V$49)</f>
        <v>227.61218777438</v>
      </c>
    </row>
    <row r="15" customFormat="false" ht="15" hidden="false" customHeight="false" outlineLevel="0" collapsed="false">
      <c r="K15" s="51" t="s">
        <v>200</v>
      </c>
      <c r="L15" s="54" t="n">
        <f aca="false">COUNTBLANK($M$18:$M$49)</f>
        <v>1</v>
      </c>
    </row>
    <row r="16" customFormat="false" ht="15" hidden="false" customHeight="false" outlineLevel="0" collapsed="false">
      <c r="B16" s="61" t="s">
        <v>201</v>
      </c>
    </row>
    <row r="17" customFormat="false" ht="48" hidden="false" customHeight="true" outlineLevel="0" collapsed="false">
      <c r="B17" s="62" t="s">
        <v>202</v>
      </c>
      <c r="C17" s="62" t="s">
        <v>203</v>
      </c>
      <c r="D17" s="62" t="s">
        <v>13</v>
      </c>
      <c r="E17" s="62" t="s">
        <v>14</v>
      </c>
      <c r="F17" s="62" t="s">
        <v>204</v>
      </c>
      <c r="G17" s="62" t="s">
        <v>15</v>
      </c>
      <c r="H17" s="62" t="s">
        <v>205</v>
      </c>
      <c r="I17" s="62" t="s">
        <v>206</v>
      </c>
      <c r="J17" s="62" t="s">
        <v>207</v>
      </c>
      <c r="K17" s="62" t="s">
        <v>208</v>
      </c>
      <c r="L17" s="62" t="s">
        <v>209</v>
      </c>
      <c r="M17" s="62" t="s">
        <v>210</v>
      </c>
      <c r="N17" s="62" t="s">
        <v>211</v>
      </c>
      <c r="O17" s="62" t="s">
        <v>212</v>
      </c>
      <c r="P17" s="62" t="s">
        <v>213</v>
      </c>
      <c r="Q17" s="62" t="s">
        <v>214</v>
      </c>
      <c r="R17" s="62" t="s">
        <v>215</v>
      </c>
      <c r="S17" s="62" t="s">
        <v>216</v>
      </c>
      <c r="T17" s="62" t="s">
        <v>217</v>
      </c>
      <c r="U17" s="62" t="s">
        <v>218</v>
      </c>
      <c r="V17" s="62" t="s">
        <v>196</v>
      </c>
      <c r="W17" s="62" t="s">
        <v>219</v>
      </c>
      <c r="X17" s="62" t="s">
        <v>220</v>
      </c>
      <c r="Y17" s="62" t="s">
        <v>221</v>
      </c>
      <c r="Z17" s="62" t="s">
        <v>222</v>
      </c>
      <c r="AA17" s="62" t="s">
        <v>223</v>
      </c>
    </row>
    <row r="18" customFormat="false" ht="93.75" hidden="false" customHeight="true" outlineLevel="0" collapsed="false">
      <c r="B18" s="63" t="n">
        <v>1</v>
      </c>
      <c r="C18" s="64" t="s">
        <v>26</v>
      </c>
      <c r="D18" s="64" t="s">
        <v>224</v>
      </c>
      <c r="E18" s="64" t="s">
        <v>27</v>
      </c>
      <c r="F18" s="63" t="s">
        <v>225</v>
      </c>
      <c r="G18" s="64"/>
      <c r="H18" s="64"/>
      <c r="I18" s="65" t="n">
        <v>1</v>
      </c>
      <c r="J18" s="66" t="s">
        <v>226</v>
      </c>
      <c r="K18" s="66" t="s">
        <v>227</v>
      </c>
      <c r="L18" s="66" t="s">
        <v>228</v>
      </c>
      <c r="M18" s="67" t="n">
        <v>314</v>
      </c>
      <c r="N18" s="65" t="s">
        <v>229</v>
      </c>
      <c r="O18" s="66" t="s">
        <v>230</v>
      </c>
      <c r="P18" s="65" t="n">
        <v>1</v>
      </c>
      <c r="Q18" s="63" t="n">
        <f aca="false">I18*$H$5</f>
        <v>15</v>
      </c>
      <c r="R18" s="63" t="n">
        <f aca="false">CEILING(Q18,MAX(1,P18))</f>
        <v>15</v>
      </c>
      <c r="S18" s="68" t="n">
        <f aca="false">IF(M18="","",IF(N18="INR",M18,M18*$H$6))</f>
        <v>314</v>
      </c>
      <c r="T18" s="68" t="n">
        <f aca="false">IF(S18="",0,R18*S18)</f>
        <v>4710</v>
      </c>
      <c r="U18" s="68" t="n">
        <f aca="false">IF(T18=0,0,T18/INDEX('Vendors &amp; shipping'!$G$7:$G$12,MATCH(J18,'Vendors &amp; shipping'!$B$7:$B$12,0))*INDEX('Vendors &amp; shipping'!$J$7:$J$12,MATCH(J18,'Vendors &amp; shipping'!$B$7:$B$12,0)))</f>
        <v>4710</v>
      </c>
      <c r="V18" s="68" t="n">
        <f aca="false">U18/$H$5</f>
        <v>314</v>
      </c>
      <c r="W18" s="65" t="s">
        <v>231</v>
      </c>
      <c r="X18" s="69" t="s">
        <v>232</v>
      </c>
      <c r="Y18" s="64" t="s">
        <v>233</v>
      </c>
      <c r="Z18" s="64"/>
      <c r="AA18" s="64" t="s">
        <v>234</v>
      </c>
    </row>
    <row r="19" customFormat="false" ht="33.75" hidden="false" customHeight="true" outlineLevel="0" collapsed="false">
      <c r="B19" s="63" t="n">
        <v>2</v>
      </c>
      <c r="C19" s="64" t="s">
        <v>28</v>
      </c>
      <c r="D19" s="64" t="s">
        <v>235</v>
      </c>
      <c r="E19" s="64" t="s">
        <v>236</v>
      </c>
      <c r="F19" s="63" t="s">
        <v>225</v>
      </c>
      <c r="G19" s="64" t="s">
        <v>31</v>
      </c>
      <c r="H19" s="64" t="s">
        <v>32</v>
      </c>
      <c r="I19" s="65" t="n">
        <v>5</v>
      </c>
      <c r="J19" s="66" t="s">
        <v>237</v>
      </c>
      <c r="K19" s="66" t="s">
        <v>238</v>
      </c>
      <c r="L19" s="66"/>
      <c r="M19" s="67" t="n">
        <v>0.0065</v>
      </c>
      <c r="N19" s="65" t="s">
        <v>239</v>
      </c>
      <c r="O19" s="66" t="s">
        <v>240</v>
      </c>
      <c r="P19" s="65" t="n">
        <v>1</v>
      </c>
      <c r="Q19" s="63" t="n">
        <f aca="false">I19*$H$5</f>
        <v>75</v>
      </c>
      <c r="R19" s="63" t="n">
        <f aca="false">CEILING(Q19,MAX(1,P19))</f>
        <v>75</v>
      </c>
      <c r="S19" s="68" t="n">
        <f aca="false">IF(M19="","",IF(N19="INR",M19,M19*$H$6))</f>
        <v>0.623285</v>
      </c>
      <c r="T19" s="68" t="n">
        <f aca="false">IF(S19="",0,R19*S19)</f>
        <v>46.746375</v>
      </c>
      <c r="U19" s="68" t="n">
        <f aca="false">IF(T19=0,0,T19/INDEX('Vendors &amp; shipping'!$G$7:$G$12,MATCH(J19,'Vendors &amp; shipping'!$B$7:$B$12,0))*INDEX('Vendors &amp; shipping'!$J$7:$J$12,MATCH(J19,'Vendors &amp; shipping'!$B$7:$B$12,0)))</f>
        <v>75.9931685424265</v>
      </c>
      <c r="V19" s="68" t="n">
        <f aca="false">U19/$H$5</f>
        <v>5.06621123616177</v>
      </c>
      <c r="W19" s="65" t="s">
        <v>231</v>
      </c>
      <c r="X19" s="69" t="s">
        <v>232</v>
      </c>
      <c r="Y19" s="64" t="s">
        <v>241</v>
      </c>
      <c r="Z19" s="70" t="s">
        <v>242</v>
      </c>
      <c r="AA19" s="64" t="s">
        <v>243</v>
      </c>
    </row>
    <row r="20" customFormat="false" ht="48.75" hidden="false" customHeight="true" outlineLevel="0" collapsed="false">
      <c r="B20" s="63" t="n">
        <v>3</v>
      </c>
      <c r="C20" s="64" t="s">
        <v>35</v>
      </c>
      <c r="D20" s="64" t="s">
        <v>244</v>
      </c>
      <c r="E20" s="64" t="s">
        <v>245</v>
      </c>
      <c r="F20" s="63" t="s">
        <v>225</v>
      </c>
      <c r="G20" s="64" t="s">
        <v>38</v>
      </c>
      <c r="H20" s="64" t="s">
        <v>32</v>
      </c>
      <c r="I20" s="65" t="n">
        <v>2</v>
      </c>
      <c r="J20" s="66" t="s">
        <v>237</v>
      </c>
      <c r="K20" s="66" t="s">
        <v>238</v>
      </c>
      <c r="L20" s="66" t="s">
        <v>246</v>
      </c>
      <c r="M20" s="67" t="n">
        <v>0.0065</v>
      </c>
      <c r="N20" s="65" t="s">
        <v>239</v>
      </c>
      <c r="O20" s="66" t="s">
        <v>240</v>
      </c>
      <c r="P20" s="65" t="n">
        <v>1</v>
      </c>
      <c r="Q20" s="63" t="n">
        <f aca="false">I20*$H$5</f>
        <v>30</v>
      </c>
      <c r="R20" s="63" t="n">
        <f aca="false">CEILING(Q20,MAX(1,P20))</f>
        <v>30</v>
      </c>
      <c r="S20" s="68" t="n">
        <f aca="false">IF(M20="","",IF(N20="INR",M20,M20*$H$6))</f>
        <v>0.623285</v>
      </c>
      <c r="T20" s="68" t="n">
        <f aca="false">IF(S20="",0,R20*S20)</f>
        <v>18.69855</v>
      </c>
      <c r="U20" s="68" t="n">
        <f aca="false">IF(T20=0,0,T20/INDEX('Vendors &amp; shipping'!$G$7:$G$12,MATCH(J20,'Vendors &amp; shipping'!$B$7:$B$12,0))*INDEX('Vendors &amp; shipping'!$J$7:$J$12,MATCH(J20,'Vendors &amp; shipping'!$B$7:$B$12,0)))</f>
        <v>30.3972674169706</v>
      </c>
      <c r="V20" s="68" t="n">
        <f aca="false">U20/$H$5</f>
        <v>2.02648449446471</v>
      </c>
      <c r="W20" s="65" t="s">
        <v>231</v>
      </c>
      <c r="X20" s="69" t="s">
        <v>232</v>
      </c>
      <c r="Y20" s="64" t="s">
        <v>247</v>
      </c>
      <c r="Z20" s="70" t="s">
        <v>248</v>
      </c>
      <c r="AA20" s="64" t="s">
        <v>249</v>
      </c>
    </row>
    <row r="21" customFormat="false" ht="48.75" hidden="false" customHeight="true" outlineLevel="0" collapsed="false">
      <c r="B21" s="63" t="n">
        <v>4</v>
      </c>
      <c r="C21" s="64" t="s">
        <v>42</v>
      </c>
      <c r="D21" s="64" t="s">
        <v>250</v>
      </c>
      <c r="E21" s="64" t="s">
        <v>251</v>
      </c>
      <c r="F21" s="63" t="s">
        <v>225</v>
      </c>
      <c r="G21" s="64" t="s">
        <v>45</v>
      </c>
      <c r="H21" s="64" t="s">
        <v>46</v>
      </c>
      <c r="I21" s="65" t="n">
        <v>11</v>
      </c>
      <c r="J21" s="66" t="s">
        <v>237</v>
      </c>
      <c r="K21" s="66" t="s">
        <v>252</v>
      </c>
      <c r="L21" s="66" t="s">
        <v>253</v>
      </c>
      <c r="M21" s="67" t="n">
        <v>0.0008</v>
      </c>
      <c r="N21" s="65" t="s">
        <v>239</v>
      </c>
      <c r="O21" s="66" t="s">
        <v>254</v>
      </c>
      <c r="P21" s="65" t="n">
        <v>100</v>
      </c>
      <c r="Q21" s="63" t="n">
        <f aca="false">I21*$H$5</f>
        <v>165</v>
      </c>
      <c r="R21" s="63" t="n">
        <f aca="false">CEILING(Q21,MAX(1,P21))</f>
        <v>200</v>
      </c>
      <c r="S21" s="68" t="n">
        <f aca="false">IF(M21="","",IF(N21="INR",M21,M21*$H$6))</f>
        <v>0.076712</v>
      </c>
      <c r="T21" s="68" t="n">
        <f aca="false">IF(S21="",0,R21*S21)</f>
        <v>15.3424</v>
      </c>
      <c r="U21" s="68" t="n">
        <f aca="false">IF(T21=0,0,T21/INDEX('Vendors &amp; shipping'!$G$7:$G$12,MATCH(J21,'Vendors &amp; shipping'!$B$7:$B$12,0))*INDEX('Vendors &amp; shipping'!$J$7:$J$12,MATCH(J21,'Vendors &amp; shipping'!$B$7:$B$12,0)))</f>
        <v>24.941347624181</v>
      </c>
      <c r="V21" s="68" t="n">
        <f aca="false">U21/$H$5</f>
        <v>1.66275650827873</v>
      </c>
      <c r="W21" s="65" t="s">
        <v>231</v>
      </c>
      <c r="X21" s="69" t="s">
        <v>232</v>
      </c>
      <c r="Y21" s="64" t="s">
        <v>255</v>
      </c>
      <c r="Z21" s="70" t="s">
        <v>256</v>
      </c>
      <c r="AA21" s="64" t="s">
        <v>257</v>
      </c>
    </row>
    <row r="22" customFormat="false" ht="33.75" hidden="false" customHeight="true" outlineLevel="0" collapsed="false">
      <c r="B22" s="63" t="n">
        <v>5</v>
      </c>
      <c r="C22" s="64" t="s">
        <v>54</v>
      </c>
      <c r="D22" s="64" t="s">
        <v>258</v>
      </c>
      <c r="E22" s="64" t="s">
        <v>56</v>
      </c>
      <c r="F22" s="63" t="s">
        <v>225</v>
      </c>
      <c r="G22" s="64" t="s">
        <v>57</v>
      </c>
      <c r="H22" s="64" t="s">
        <v>32</v>
      </c>
      <c r="I22" s="65" t="n">
        <v>1</v>
      </c>
      <c r="J22" s="66" t="s">
        <v>237</v>
      </c>
      <c r="K22" s="66" t="s">
        <v>259</v>
      </c>
      <c r="L22" s="66"/>
      <c r="M22" s="67" t="n">
        <v>0.0172</v>
      </c>
      <c r="N22" s="65" t="s">
        <v>239</v>
      </c>
      <c r="O22" s="66" t="s">
        <v>254</v>
      </c>
      <c r="P22" s="65" t="n">
        <v>1</v>
      </c>
      <c r="Q22" s="63" t="n">
        <f aca="false">I22*$H$5</f>
        <v>15</v>
      </c>
      <c r="R22" s="63" t="n">
        <f aca="false">CEILING(Q22,MAX(1,P22))</f>
        <v>15</v>
      </c>
      <c r="S22" s="68" t="n">
        <f aca="false">IF(M22="","",IF(N22="INR",M22,M22*$H$6))</f>
        <v>1.649308</v>
      </c>
      <c r="T22" s="68" t="n">
        <f aca="false">IF(S22="",0,R22*S22)</f>
        <v>24.73962</v>
      </c>
      <c r="U22" s="68" t="n">
        <f aca="false">IF(T22=0,0,T22/INDEX('Vendors &amp; shipping'!$G$7:$G$12,MATCH(J22,'Vendors &amp; shipping'!$B$7:$B$12,0))*INDEX('Vendors &amp; shipping'!$J$7:$J$12,MATCH(J22,'Vendors &amp; shipping'!$B$7:$B$12,0)))</f>
        <v>40.2179230439919</v>
      </c>
      <c r="V22" s="68" t="n">
        <f aca="false">U22/$H$5</f>
        <v>2.68119486959946</v>
      </c>
      <c r="W22" s="65" t="s">
        <v>260</v>
      </c>
      <c r="X22" s="69" t="s">
        <v>232</v>
      </c>
      <c r="Y22" s="64" t="s">
        <v>261</v>
      </c>
      <c r="Z22" s="64"/>
      <c r="AA22" s="64"/>
    </row>
    <row r="23" customFormat="false" ht="48.75" hidden="false" customHeight="true" outlineLevel="0" collapsed="false">
      <c r="B23" s="63" t="n">
        <v>6</v>
      </c>
      <c r="C23" s="64" t="s">
        <v>59</v>
      </c>
      <c r="D23" s="64" t="s">
        <v>262</v>
      </c>
      <c r="E23" s="64" t="s">
        <v>61</v>
      </c>
      <c r="F23" s="63" t="s">
        <v>225</v>
      </c>
      <c r="G23" s="64"/>
      <c r="H23" s="64"/>
      <c r="I23" s="65" t="n">
        <v>2</v>
      </c>
      <c r="J23" s="66" t="s">
        <v>237</v>
      </c>
      <c r="K23" s="66" t="s">
        <v>263</v>
      </c>
      <c r="L23" s="66"/>
      <c r="M23" s="67" t="n">
        <v>0.0944</v>
      </c>
      <c r="N23" s="65" t="s">
        <v>239</v>
      </c>
      <c r="O23" s="66" t="s">
        <v>254</v>
      </c>
      <c r="P23" s="65" t="n">
        <v>1</v>
      </c>
      <c r="Q23" s="63" t="n">
        <f aca="false">I23*$H$5</f>
        <v>30</v>
      </c>
      <c r="R23" s="63" t="n">
        <f aca="false">CEILING(Q23,MAX(1,P23))</f>
        <v>30</v>
      </c>
      <c r="S23" s="68" t="n">
        <f aca="false">IF(M23="","",IF(N23="INR",M23,M23*$H$6))</f>
        <v>9.052016</v>
      </c>
      <c r="T23" s="68" t="n">
        <f aca="false">IF(S23="",0,R23*S23)</f>
        <v>271.56048</v>
      </c>
      <c r="U23" s="68" t="n">
        <f aca="false">IF(T23=0,0,T23/INDEX('Vendors &amp; shipping'!$G$7:$G$12,MATCH(J23,'Vendors &amp; shipping'!$B$7:$B$12,0))*INDEX('Vendors &amp; shipping'!$J$7:$J$12,MATCH(J23,'Vendors &amp; shipping'!$B$7:$B$12,0)))</f>
        <v>441.461852948004</v>
      </c>
      <c r="V23" s="68" t="n">
        <f aca="false">U23/$H$5</f>
        <v>29.4307901965336</v>
      </c>
      <c r="W23" s="65" t="s">
        <v>231</v>
      </c>
      <c r="X23" s="69" t="s">
        <v>232</v>
      </c>
      <c r="Y23" s="64" t="s">
        <v>264</v>
      </c>
      <c r="Z23" s="64"/>
      <c r="AA23" s="64"/>
    </row>
    <row r="24" customFormat="false" ht="33.75" hidden="false" customHeight="true" outlineLevel="0" collapsed="false">
      <c r="B24" s="63" t="n">
        <v>7</v>
      </c>
      <c r="C24" s="64" t="s">
        <v>64</v>
      </c>
      <c r="D24" s="64" t="s">
        <v>265</v>
      </c>
      <c r="E24" s="64" t="s">
        <v>66</v>
      </c>
      <c r="F24" s="63" t="s">
        <v>225</v>
      </c>
      <c r="G24" s="64"/>
      <c r="H24" s="64"/>
      <c r="I24" s="65" t="n">
        <v>1</v>
      </c>
      <c r="J24" s="66" t="s">
        <v>237</v>
      </c>
      <c r="K24" s="66" t="s">
        <v>266</v>
      </c>
      <c r="L24" s="66" t="s">
        <v>267</v>
      </c>
      <c r="M24" s="67" t="n">
        <v>0.0032</v>
      </c>
      <c r="N24" s="65" t="s">
        <v>239</v>
      </c>
      <c r="O24" s="66" t="s">
        <v>254</v>
      </c>
      <c r="P24" s="65" t="n">
        <v>50</v>
      </c>
      <c r="Q24" s="63" t="n">
        <f aca="false">I24*$H$5</f>
        <v>15</v>
      </c>
      <c r="R24" s="63" t="n">
        <f aca="false">CEILING(Q24,MAX(1,P24))</f>
        <v>50</v>
      </c>
      <c r="S24" s="68" t="n">
        <f aca="false">IF(M24="","",IF(N24="INR",M24,M24*$H$6))</f>
        <v>0.306848</v>
      </c>
      <c r="T24" s="68" t="n">
        <f aca="false">IF(S24="",0,R24*S24)</f>
        <v>15.3424</v>
      </c>
      <c r="U24" s="68" t="n">
        <f aca="false">IF(T24=0,0,T24/INDEX('Vendors &amp; shipping'!$G$7:$G$12,MATCH(J24,'Vendors &amp; shipping'!$B$7:$B$12,0))*INDEX('Vendors &amp; shipping'!$J$7:$J$12,MATCH(J24,'Vendors &amp; shipping'!$B$7:$B$12,0)))</f>
        <v>24.941347624181</v>
      </c>
      <c r="V24" s="68" t="n">
        <f aca="false">U24/$H$5</f>
        <v>1.66275650827873</v>
      </c>
      <c r="W24" s="65" t="s">
        <v>231</v>
      </c>
      <c r="X24" s="69" t="s">
        <v>232</v>
      </c>
      <c r="Y24" s="64" t="s">
        <v>268</v>
      </c>
      <c r="Z24" s="64"/>
      <c r="AA24" s="64" t="s">
        <v>269</v>
      </c>
    </row>
    <row r="25" customFormat="false" ht="33.75" hidden="false" customHeight="true" outlineLevel="0" collapsed="false">
      <c r="B25" s="63" t="n">
        <v>8</v>
      </c>
      <c r="C25" s="64" t="s">
        <v>69</v>
      </c>
      <c r="D25" s="64" t="s">
        <v>270</v>
      </c>
      <c r="E25" s="64" t="s">
        <v>70</v>
      </c>
      <c r="F25" s="63" t="s">
        <v>225</v>
      </c>
      <c r="G25" s="64"/>
      <c r="H25" s="64"/>
      <c r="I25" s="65" t="n">
        <v>1</v>
      </c>
      <c r="J25" s="66" t="s">
        <v>237</v>
      </c>
      <c r="K25" s="66" t="s">
        <v>271</v>
      </c>
      <c r="L25" s="66"/>
      <c r="M25" s="67" t="n">
        <v>0.0123</v>
      </c>
      <c r="N25" s="65" t="s">
        <v>239</v>
      </c>
      <c r="O25" s="66" t="s">
        <v>254</v>
      </c>
      <c r="P25" s="65" t="n">
        <v>1</v>
      </c>
      <c r="Q25" s="63" t="n">
        <f aca="false">I25*$H$5</f>
        <v>15</v>
      </c>
      <c r="R25" s="63" t="n">
        <f aca="false">CEILING(Q25,MAX(1,P25))</f>
        <v>15</v>
      </c>
      <c r="S25" s="68" t="n">
        <f aca="false">IF(M25="","",IF(N25="INR",M25,M25*$H$6))</f>
        <v>1.179447</v>
      </c>
      <c r="T25" s="68" t="n">
        <f aca="false">IF(S25="",0,R25*S25)</f>
        <v>17.691705</v>
      </c>
      <c r="U25" s="68" t="n">
        <f aca="false">IF(T25=0,0,T25/INDEX('Vendors &amp; shipping'!$G$7:$G$12,MATCH(J25,'Vendors &amp; shipping'!$B$7:$B$12,0))*INDEX('Vendors &amp; shipping'!$J$7:$J$12,MATCH(J25,'Vendors &amp; shipping'!$B$7:$B$12,0)))</f>
        <v>28.7604914791337</v>
      </c>
      <c r="V25" s="68" t="n">
        <f aca="false">U25/$H$5</f>
        <v>1.91736609860892</v>
      </c>
      <c r="W25" s="65" t="s">
        <v>260</v>
      </c>
      <c r="X25" s="69" t="s">
        <v>232</v>
      </c>
      <c r="Y25" s="64"/>
      <c r="Z25" s="64"/>
      <c r="AA25" s="64" t="s">
        <v>272</v>
      </c>
    </row>
    <row r="26" customFormat="false" ht="63.75" hidden="false" customHeight="true" outlineLevel="0" collapsed="false">
      <c r="B26" s="63" t="n">
        <v>9</v>
      </c>
      <c r="C26" s="64" t="s">
        <v>79</v>
      </c>
      <c r="D26" s="64" t="s">
        <v>273</v>
      </c>
      <c r="E26" s="64" t="s">
        <v>81</v>
      </c>
      <c r="F26" s="63" t="s">
        <v>225</v>
      </c>
      <c r="G26" s="64"/>
      <c r="H26" s="64"/>
      <c r="I26" s="65" t="n">
        <v>1</v>
      </c>
      <c r="J26" s="66" t="s">
        <v>82</v>
      </c>
      <c r="K26" s="66" t="s">
        <v>79</v>
      </c>
      <c r="L26" s="66"/>
      <c r="M26" s="67" t="n">
        <v>4.29</v>
      </c>
      <c r="N26" s="65" t="s">
        <v>239</v>
      </c>
      <c r="O26" s="66" t="s">
        <v>274</v>
      </c>
      <c r="P26" s="65" t="n">
        <v>1</v>
      </c>
      <c r="Q26" s="63" t="n">
        <f aca="false">I26*$H$5</f>
        <v>15</v>
      </c>
      <c r="R26" s="63" t="n">
        <f aca="false">CEILING(Q26,MAX(1,P26))</f>
        <v>15</v>
      </c>
      <c r="S26" s="68" t="n">
        <f aca="false">IF(M26="","",IF(N26="INR",M26,M26*$H$6))</f>
        <v>411.3681</v>
      </c>
      <c r="T26" s="68" t="n">
        <f aca="false">IF(S26="",0,R26*S26)</f>
        <v>6170.5215</v>
      </c>
      <c r="U26" s="68" t="n">
        <f aca="false">IF(T26=0,0,T26/INDEX('Vendors &amp; shipping'!$G$7:$G$12,MATCH(J26,'Vendors &amp; shipping'!$B$7:$B$12,0))*INDEX('Vendors &amp; shipping'!$J$7:$J$12,MATCH(J26,'Vendors &amp; shipping'!$B$7:$B$12,0)))</f>
        <v>8083.383165</v>
      </c>
      <c r="V26" s="68" t="n">
        <f aca="false">U26/$H$5</f>
        <v>538.892211</v>
      </c>
      <c r="W26" s="65" t="s">
        <v>260</v>
      </c>
      <c r="X26" s="69" t="s">
        <v>232</v>
      </c>
      <c r="Y26" s="64" t="s">
        <v>275</v>
      </c>
      <c r="Z26" s="64"/>
      <c r="AA26" s="64" t="s">
        <v>276</v>
      </c>
    </row>
    <row r="27" customFormat="false" ht="18.75" hidden="false" customHeight="true" outlineLevel="0" collapsed="false">
      <c r="B27" s="63" t="n">
        <v>10</v>
      </c>
      <c r="C27" s="64" t="s">
        <v>84</v>
      </c>
      <c r="D27" s="64" t="s">
        <v>277</v>
      </c>
      <c r="E27" s="64" t="s">
        <v>85</v>
      </c>
      <c r="F27" s="63" t="s">
        <v>225</v>
      </c>
      <c r="G27" s="64"/>
      <c r="H27" s="64"/>
      <c r="I27" s="65" t="n">
        <v>1</v>
      </c>
      <c r="J27" s="66" t="s">
        <v>237</v>
      </c>
      <c r="K27" s="66" t="s">
        <v>278</v>
      </c>
      <c r="L27" s="66"/>
      <c r="M27" s="67" t="n">
        <v>1.3385</v>
      </c>
      <c r="N27" s="65" t="s">
        <v>239</v>
      </c>
      <c r="O27" s="66" t="s">
        <v>254</v>
      </c>
      <c r="P27" s="65" t="n">
        <v>1</v>
      </c>
      <c r="Q27" s="63" t="n">
        <f aca="false">I27*$H$5</f>
        <v>15</v>
      </c>
      <c r="R27" s="63" t="n">
        <f aca="false">CEILING(Q27,MAX(1,P27))</f>
        <v>15</v>
      </c>
      <c r="S27" s="68" t="n">
        <f aca="false">IF(M27="","",IF(N27="INR",M27,M27*$H$6))</f>
        <v>128.348765</v>
      </c>
      <c r="T27" s="68" t="n">
        <f aca="false">IF(S27="",0,R27*S27)</f>
        <v>1925.231475</v>
      </c>
      <c r="U27" s="68" t="n">
        <f aca="false">IF(T27=0,0,T27/INDEX('Vendors &amp; shipping'!$G$7:$G$12,MATCH(J27,'Vendors &amp; shipping'!$B$7:$B$12,0))*INDEX('Vendors &amp; shipping'!$J$7:$J$12,MATCH(J27,'Vendors &amp; shipping'!$B$7:$B$12,0)))</f>
        <v>3129.74941827809</v>
      </c>
      <c r="V27" s="68" t="n">
        <f aca="false">U27/$H$5</f>
        <v>208.649961218539</v>
      </c>
      <c r="W27" s="65" t="s">
        <v>231</v>
      </c>
      <c r="X27" s="69" t="s">
        <v>232</v>
      </c>
      <c r="Y27" s="64" t="s">
        <v>279</v>
      </c>
      <c r="Z27" s="64"/>
      <c r="AA27" s="64"/>
    </row>
    <row r="28" customFormat="false" ht="78.75" hidden="false" customHeight="true" outlineLevel="0" collapsed="false">
      <c r="B28" s="63" t="n">
        <v>11</v>
      </c>
      <c r="C28" s="64" t="s">
        <v>88</v>
      </c>
      <c r="D28" s="64" t="s">
        <v>280</v>
      </c>
      <c r="E28" s="64" t="s">
        <v>89</v>
      </c>
      <c r="F28" s="63" t="s">
        <v>225</v>
      </c>
      <c r="G28" s="64"/>
      <c r="H28" s="64"/>
      <c r="I28" s="65" t="n">
        <v>1</v>
      </c>
      <c r="J28" s="66" t="s">
        <v>237</v>
      </c>
      <c r="K28" s="66" t="s">
        <v>281</v>
      </c>
      <c r="L28" s="66" t="s">
        <v>282</v>
      </c>
      <c r="M28" s="67" t="n">
        <v>0.3554</v>
      </c>
      <c r="N28" s="65" t="s">
        <v>239</v>
      </c>
      <c r="O28" s="66" t="s">
        <v>254</v>
      </c>
      <c r="P28" s="65" t="n">
        <v>1</v>
      </c>
      <c r="Q28" s="63" t="n">
        <f aca="false">I28*$H$5</f>
        <v>15</v>
      </c>
      <c r="R28" s="63" t="n">
        <f aca="false">CEILING(Q28,MAX(1,P28))</f>
        <v>15</v>
      </c>
      <c r="S28" s="68" t="n">
        <f aca="false">IF(M28="","",IF(N28="INR",M28,M28*$H$6))</f>
        <v>34.079306</v>
      </c>
      <c r="T28" s="68" t="n">
        <f aca="false">IF(S28="",0,R28*S28)</f>
        <v>511.18959</v>
      </c>
      <c r="U28" s="68" t="n">
        <f aca="false">IF(T28=0,0,T28/INDEX('Vendors &amp; shipping'!$G$7:$G$12,MATCH(J28,'Vendors &amp; shipping'!$B$7:$B$12,0))*INDEX('Vendors &amp; shipping'!$J$7:$J$12,MATCH(J28,'Vendors &amp; shipping'!$B$7:$B$12,0)))</f>
        <v>831.014526153181</v>
      </c>
      <c r="V28" s="68" t="n">
        <f aca="false">U28/$H$5</f>
        <v>55.4009684102121</v>
      </c>
      <c r="W28" s="65" t="s">
        <v>231</v>
      </c>
      <c r="X28" s="69" t="s">
        <v>232</v>
      </c>
      <c r="Y28" s="64" t="s">
        <v>283</v>
      </c>
      <c r="Z28" s="64"/>
      <c r="AA28" s="64" t="s">
        <v>284</v>
      </c>
    </row>
    <row r="29" customFormat="false" ht="93.75" hidden="false" customHeight="true" outlineLevel="0" collapsed="false">
      <c r="B29" s="63" t="n">
        <v>12</v>
      </c>
      <c r="C29" s="64" t="s">
        <v>92</v>
      </c>
      <c r="D29" s="64" t="s">
        <v>285</v>
      </c>
      <c r="E29" s="64" t="s">
        <v>94</v>
      </c>
      <c r="F29" s="63" t="s">
        <v>225</v>
      </c>
      <c r="G29" s="64"/>
      <c r="H29" s="64"/>
      <c r="I29" s="65" t="n">
        <v>1</v>
      </c>
      <c r="J29" s="66" t="s">
        <v>286</v>
      </c>
      <c r="K29" s="66" t="s">
        <v>287</v>
      </c>
      <c r="L29" s="66"/>
      <c r="M29" s="71"/>
      <c r="N29" s="65" t="s">
        <v>239</v>
      </c>
      <c r="O29" s="66"/>
      <c r="P29" s="65" t="n">
        <v>1</v>
      </c>
      <c r="Q29" s="63" t="n">
        <f aca="false">I29*$H$5</f>
        <v>15</v>
      </c>
      <c r="R29" s="63" t="n">
        <f aca="false">CEILING(Q29,MAX(1,P29))</f>
        <v>15</v>
      </c>
      <c r="S29" s="68" t="str">
        <f aca="false">IF(M29="","",IF(N29="INR",M29,M29*$H$6))</f>
        <v/>
      </c>
      <c r="T29" s="68" t="n">
        <f aca="false">IF(S29="",0,R29*S29)</f>
        <v>0</v>
      </c>
      <c r="U29" s="68" t="n">
        <f aca="false">IF(T29=0,0,T29/INDEX('Vendors &amp; shipping'!$G$7:$G$12,MATCH(J29,'Vendors &amp; shipping'!$B$7:$B$12,0))*INDEX('Vendors &amp; shipping'!$J$7:$J$12,MATCH(J29,'Vendors &amp; shipping'!$B$7:$B$12,0)))</f>
        <v>0</v>
      </c>
      <c r="V29" s="68" t="n">
        <f aca="false">U29/$H$5</f>
        <v>0</v>
      </c>
      <c r="W29" s="65" t="s">
        <v>288</v>
      </c>
      <c r="X29" s="69" t="s">
        <v>232</v>
      </c>
      <c r="Y29" s="64" t="s">
        <v>289</v>
      </c>
      <c r="Z29" s="64"/>
      <c r="AA29" s="64" t="s">
        <v>290</v>
      </c>
    </row>
    <row r="30" customFormat="false" ht="33.75" hidden="false" customHeight="true" outlineLevel="0" collapsed="false">
      <c r="B30" s="63" t="n">
        <v>13</v>
      </c>
      <c r="C30" s="64" t="s">
        <v>97</v>
      </c>
      <c r="D30" s="64" t="s">
        <v>291</v>
      </c>
      <c r="E30" s="64" t="s">
        <v>292</v>
      </c>
      <c r="F30" s="63" t="s">
        <v>225</v>
      </c>
      <c r="G30" s="64"/>
      <c r="H30" s="64"/>
      <c r="I30" s="65" t="n">
        <v>1</v>
      </c>
      <c r="J30" s="66" t="s">
        <v>237</v>
      </c>
      <c r="K30" s="66" t="s">
        <v>293</v>
      </c>
      <c r="L30" s="66"/>
      <c r="M30" s="67" t="n">
        <v>0.0337</v>
      </c>
      <c r="N30" s="65" t="s">
        <v>239</v>
      </c>
      <c r="O30" s="66" t="s">
        <v>254</v>
      </c>
      <c r="P30" s="65" t="n">
        <v>1</v>
      </c>
      <c r="Q30" s="63" t="n">
        <f aca="false">I30*$H$5</f>
        <v>15</v>
      </c>
      <c r="R30" s="63" t="n">
        <f aca="false">CEILING(Q30,MAX(1,P30))</f>
        <v>15</v>
      </c>
      <c r="S30" s="68" t="n">
        <f aca="false">IF(M30="","",IF(N30="INR",M30,M30*$H$6))</f>
        <v>3.231493</v>
      </c>
      <c r="T30" s="68" t="n">
        <f aca="false">IF(S30="",0,R30*S30)</f>
        <v>48.472395</v>
      </c>
      <c r="U30" s="68" t="n">
        <f aca="false">IF(T30=0,0,T30/INDEX('Vendors &amp; shipping'!$G$7:$G$12,MATCH(J30,'Vendors &amp; shipping'!$B$7:$B$12,0))*INDEX('Vendors &amp; shipping'!$J$7:$J$12,MATCH(J30,'Vendors &amp; shipping'!$B$7:$B$12,0)))</f>
        <v>78.7990701501469</v>
      </c>
      <c r="V30" s="68" t="n">
        <f aca="false">U30/$H$5</f>
        <v>5.25327134334313</v>
      </c>
      <c r="W30" s="65" t="s">
        <v>260</v>
      </c>
      <c r="X30" s="69" t="s">
        <v>232</v>
      </c>
      <c r="Y30" s="64" t="s">
        <v>294</v>
      </c>
      <c r="Z30" s="70" t="s">
        <v>295</v>
      </c>
      <c r="AA30" s="64"/>
    </row>
    <row r="31" customFormat="false" ht="48.75" hidden="false" customHeight="true" outlineLevel="0" collapsed="false">
      <c r="B31" s="63" t="n">
        <v>14</v>
      </c>
      <c r="C31" s="64" t="s">
        <v>102</v>
      </c>
      <c r="D31" s="64" t="s">
        <v>296</v>
      </c>
      <c r="E31" s="64" t="s">
        <v>104</v>
      </c>
      <c r="F31" s="63" t="s">
        <v>225</v>
      </c>
      <c r="G31" s="64"/>
      <c r="H31" s="64" t="s">
        <v>105</v>
      </c>
      <c r="I31" s="65" t="n">
        <v>1</v>
      </c>
      <c r="J31" s="66" t="s">
        <v>237</v>
      </c>
      <c r="K31" s="66" t="s">
        <v>297</v>
      </c>
      <c r="L31" s="66" t="s">
        <v>298</v>
      </c>
      <c r="M31" s="67" t="n">
        <v>0.0961</v>
      </c>
      <c r="N31" s="65" t="s">
        <v>239</v>
      </c>
      <c r="O31" s="66" t="s">
        <v>254</v>
      </c>
      <c r="P31" s="65" t="n">
        <v>1</v>
      </c>
      <c r="Q31" s="63" t="n">
        <f aca="false">I31*$H$5</f>
        <v>15</v>
      </c>
      <c r="R31" s="63" t="n">
        <f aca="false">CEILING(Q31,MAX(1,P31))</f>
        <v>15</v>
      </c>
      <c r="S31" s="68" t="n">
        <f aca="false">IF(M31="","",IF(N31="INR",M31,M31*$H$6))</f>
        <v>9.215029</v>
      </c>
      <c r="T31" s="68" t="n">
        <f aca="false">IF(S31="",0,R31*S31)</f>
        <v>138.225435</v>
      </c>
      <c r="U31" s="68" t="n">
        <f aca="false">IF(T31=0,0,T31/INDEX('Vendors &amp; shipping'!$G$7:$G$12,MATCH(J31,'Vendors &amp; shipping'!$B$7:$B$12,0))*INDEX('Vendors &amp; shipping'!$J$7:$J$12,MATCH(J31,'Vendors &amp; shipping'!$B$7:$B$12,0)))</f>
        <v>224.705953751606</v>
      </c>
      <c r="V31" s="68" t="n">
        <f aca="false">U31/$H$5</f>
        <v>14.9803969167737</v>
      </c>
      <c r="W31" s="65" t="s">
        <v>231</v>
      </c>
      <c r="X31" s="69" t="s">
        <v>232</v>
      </c>
      <c r="Y31" s="64" t="s">
        <v>299</v>
      </c>
      <c r="Z31" s="64"/>
      <c r="AA31" s="64" t="s">
        <v>300</v>
      </c>
    </row>
    <row r="32" customFormat="false" ht="63.75" hidden="false" customHeight="true" outlineLevel="0" collapsed="false">
      <c r="B32" s="63" t="n">
        <v>15</v>
      </c>
      <c r="C32" s="64" t="s">
        <v>108</v>
      </c>
      <c r="D32" s="64" t="s">
        <v>301</v>
      </c>
      <c r="E32" s="64" t="s">
        <v>109</v>
      </c>
      <c r="F32" s="63" t="s">
        <v>225</v>
      </c>
      <c r="G32" s="64"/>
      <c r="H32" s="64"/>
      <c r="I32" s="65" t="n">
        <v>1</v>
      </c>
      <c r="J32" s="66" t="s">
        <v>237</v>
      </c>
      <c r="K32" s="66" t="s">
        <v>302</v>
      </c>
      <c r="L32" s="66"/>
      <c r="M32" s="67" t="n">
        <v>0.953</v>
      </c>
      <c r="N32" s="65" t="s">
        <v>239</v>
      </c>
      <c r="O32" s="66" t="s">
        <v>254</v>
      </c>
      <c r="P32" s="65" t="n">
        <v>1</v>
      </c>
      <c r="Q32" s="63" t="n">
        <f aca="false">I32*$H$5</f>
        <v>15</v>
      </c>
      <c r="R32" s="63" t="n">
        <f aca="false">CEILING(Q32,MAX(1,P32))</f>
        <v>15</v>
      </c>
      <c r="S32" s="68" t="n">
        <f aca="false">IF(M32="","",IF(N32="INR",M32,M32*$H$6))</f>
        <v>91.38317</v>
      </c>
      <c r="T32" s="68" t="n">
        <f aca="false">IF(S32="",0,R32*S32)</f>
        <v>1370.74755</v>
      </c>
      <c r="U32" s="68" t="n">
        <f aca="false">IF(T32=0,0,T32/INDEX('Vendors &amp; shipping'!$G$7:$G$12,MATCH(J32,'Vendors &amp; shipping'!$B$7:$B$12,0))*INDEX('Vendors &amp; shipping'!$J$7:$J$12,MATCH(J32,'Vendors &amp; shipping'!$B$7:$B$12,0)))</f>
        <v>2228.35352679792</v>
      </c>
      <c r="V32" s="68" t="n">
        <f aca="false">U32/$H$5</f>
        <v>148.556901786528</v>
      </c>
      <c r="W32" s="65" t="s">
        <v>260</v>
      </c>
      <c r="X32" s="69" t="s">
        <v>232</v>
      </c>
      <c r="Y32" s="64" t="s">
        <v>303</v>
      </c>
      <c r="Z32" s="64"/>
      <c r="AA32" s="64" t="s">
        <v>304</v>
      </c>
    </row>
    <row r="33" customFormat="false" ht="33.75" hidden="false" customHeight="true" outlineLevel="0" collapsed="false">
      <c r="B33" s="63" t="n">
        <v>16</v>
      </c>
      <c r="C33" s="64" t="s">
        <v>114</v>
      </c>
      <c r="D33" s="64" t="s">
        <v>305</v>
      </c>
      <c r="E33" s="64" t="s">
        <v>116</v>
      </c>
      <c r="F33" s="63" t="s">
        <v>225</v>
      </c>
      <c r="G33" s="64"/>
      <c r="H33" s="64"/>
      <c r="I33" s="65" t="n">
        <v>1</v>
      </c>
      <c r="J33" s="66" t="s">
        <v>237</v>
      </c>
      <c r="K33" s="66" t="s">
        <v>306</v>
      </c>
      <c r="L33" s="66" t="s">
        <v>307</v>
      </c>
      <c r="M33" s="67" t="n">
        <v>0.0054</v>
      </c>
      <c r="N33" s="65" t="s">
        <v>239</v>
      </c>
      <c r="O33" s="66" t="s">
        <v>254</v>
      </c>
      <c r="P33" s="65" t="n">
        <v>1</v>
      </c>
      <c r="Q33" s="63" t="n">
        <f aca="false">I33*$H$5</f>
        <v>15</v>
      </c>
      <c r="R33" s="63" t="n">
        <f aca="false">CEILING(Q33,MAX(1,P33))</f>
        <v>15</v>
      </c>
      <c r="S33" s="68" t="n">
        <f aca="false">IF(M33="","",IF(N33="INR",M33,M33*$H$6))</f>
        <v>0.517806</v>
      </c>
      <c r="T33" s="68" t="n">
        <f aca="false">IF(S33="",0,R33*S33)</f>
        <v>7.76709</v>
      </c>
      <c r="U33" s="68" t="n">
        <f aca="false">IF(T33=0,0,T33/INDEX('Vendors &amp; shipping'!$G$7:$G$12,MATCH(J33,'Vendors &amp; shipping'!$B$7:$B$12,0))*INDEX('Vendors &amp; shipping'!$J$7:$J$12,MATCH(J33,'Vendors &amp; shipping'!$B$7:$B$12,0)))</f>
        <v>12.6265572347416</v>
      </c>
      <c r="V33" s="68" t="n">
        <f aca="false">U33/$H$5</f>
        <v>0.841770482316109</v>
      </c>
      <c r="W33" s="65" t="s">
        <v>260</v>
      </c>
      <c r="X33" s="69" t="s">
        <v>232</v>
      </c>
      <c r="Y33" s="64" t="s">
        <v>308</v>
      </c>
      <c r="Z33" s="64"/>
      <c r="AA33" s="64" t="s">
        <v>309</v>
      </c>
    </row>
    <row r="34" customFormat="false" ht="33.75" hidden="false" customHeight="true" outlineLevel="0" collapsed="false">
      <c r="B34" s="63" t="n">
        <v>17</v>
      </c>
      <c r="C34" s="64" t="s">
        <v>118</v>
      </c>
      <c r="D34" s="64" t="s">
        <v>310</v>
      </c>
      <c r="E34" s="64" t="s">
        <v>120</v>
      </c>
      <c r="F34" s="63" t="s">
        <v>225</v>
      </c>
      <c r="G34" s="64" t="s">
        <v>121</v>
      </c>
      <c r="H34" s="64" t="s">
        <v>32</v>
      </c>
      <c r="I34" s="65" t="n">
        <v>2</v>
      </c>
      <c r="J34" s="66" t="s">
        <v>237</v>
      </c>
      <c r="K34" s="66" t="s">
        <v>311</v>
      </c>
      <c r="L34" s="66" t="s">
        <v>312</v>
      </c>
      <c r="M34" s="67" t="n">
        <v>0.0016</v>
      </c>
      <c r="N34" s="65" t="s">
        <v>239</v>
      </c>
      <c r="O34" s="66" t="s">
        <v>254</v>
      </c>
      <c r="P34" s="65" t="n">
        <v>100</v>
      </c>
      <c r="Q34" s="63" t="n">
        <f aca="false">I34*$H$5</f>
        <v>30</v>
      </c>
      <c r="R34" s="63" t="n">
        <f aca="false">CEILING(Q34,MAX(1,P34))</f>
        <v>100</v>
      </c>
      <c r="S34" s="68" t="n">
        <f aca="false">IF(M34="","",IF(N34="INR",M34,M34*$H$6))</f>
        <v>0.153424</v>
      </c>
      <c r="T34" s="68" t="n">
        <f aca="false">IF(S34="",0,R34*S34)</f>
        <v>15.3424</v>
      </c>
      <c r="U34" s="68" t="n">
        <f aca="false">IF(T34=0,0,T34/INDEX('Vendors &amp; shipping'!$G$7:$G$12,MATCH(J34,'Vendors &amp; shipping'!$B$7:$B$12,0))*INDEX('Vendors &amp; shipping'!$J$7:$J$12,MATCH(J34,'Vendors &amp; shipping'!$B$7:$B$12,0)))</f>
        <v>24.941347624181</v>
      </c>
      <c r="V34" s="68" t="n">
        <f aca="false">U34/$H$5</f>
        <v>1.66275650827873</v>
      </c>
      <c r="W34" s="65" t="s">
        <v>231</v>
      </c>
      <c r="X34" s="69" t="s">
        <v>232</v>
      </c>
      <c r="Y34" s="64"/>
      <c r="Z34" s="64"/>
      <c r="AA34" s="64" t="s">
        <v>313</v>
      </c>
    </row>
    <row r="35" customFormat="false" ht="18.75" hidden="false" customHeight="true" outlineLevel="0" collapsed="false">
      <c r="B35" s="63" t="n">
        <v>18</v>
      </c>
      <c r="C35" s="64" t="s">
        <v>123</v>
      </c>
      <c r="D35" s="64" t="s">
        <v>314</v>
      </c>
      <c r="E35" s="64" t="s">
        <v>125</v>
      </c>
      <c r="F35" s="63" t="s">
        <v>225</v>
      </c>
      <c r="G35" s="64" t="s">
        <v>126</v>
      </c>
      <c r="H35" s="64" t="s">
        <v>46</v>
      </c>
      <c r="I35" s="65" t="n">
        <v>1</v>
      </c>
      <c r="J35" s="66" t="s">
        <v>237</v>
      </c>
      <c r="K35" s="66" t="s">
        <v>315</v>
      </c>
      <c r="L35" s="66"/>
      <c r="M35" s="67" t="n">
        <v>0.002</v>
      </c>
      <c r="N35" s="65" t="s">
        <v>239</v>
      </c>
      <c r="O35" s="66" t="s">
        <v>254</v>
      </c>
      <c r="P35" s="65" t="n">
        <v>100</v>
      </c>
      <c r="Q35" s="63" t="n">
        <f aca="false">I35*$H$5</f>
        <v>15</v>
      </c>
      <c r="R35" s="63" t="n">
        <f aca="false">CEILING(Q35,MAX(1,P35))</f>
        <v>100</v>
      </c>
      <c r="S35" s="68" t="n">
        <f aca="false">IF(M35="","",IF(N35="INR",M35,M35*$H$6))</f>
        <v>0.19178</v>
      </c>
      <c r="T35" s="68" t="n">
        <f aca="false">IF(S35="",0,R35*S35)</f>
        <v>19.178</v>
      </c>
      <c r="U35" s="68" t="n">
        <f aca="false">IF(T35=0,0,T35/INDEX('Vendors &amp; shipping'!$G$7:$G$12,MATCH(J35,'Vendors &amp; shipping'!$B$7:$B$12,0))*INDEX('Vendors &amp; shipping'!$J$7:$J$12,MATCH(J35,'Vendors &amp; shipping'!$B$7:$B$12,0)))</f>
        <v>31.1766845302263</v>
      </c>
      <c r="V35" s="68" t="n">
        <f aca="false">U35/$H$5</f>
        <v>2.07844563534842</v>
      </c>
      <c r="W35" s="65" t="s">
        <v>260</v>
      </c>
      <c r="X35" s="69" t="s">
        <v>232</v>
      </c>
      <c r="Y35" s="64"/>
      <c r="Z35" s="64"/>
      <c r="AA35" s="64" t="s">
        <v>316</v>
      </c>
    </row>
    <row r="36" customFormat="false" ht="48.75" hidden="false" customHeight="true" outlineLevel="0" collapsed="false">
      <c r="B36" s="63" t="n">
        <v>19</v>
      </c>
      <c r="C36" s="64" t="s">
        <v>128</v>
      </c>
      <c r="D36" s="64" t="s">
        <v>317</v>
      </c>
      <c r="E36" s="64" t="s">
        <v>318</v>
      </c>
      <c r="F36" s="63" t="s">
        <v>225</v>
      </c>
      <c r="G36" s="64" t="s">
        <v>131</v>
      </c>
      <c r="H36" s="64" t="s">
        <v>46</v>
      </c>
      <c r="I36" s="65" t="n">
        <v>2</v>
      </c>
      <c r="J36" s="66" t="s">
        <v>237</v>
      </c>
      <c r="K36" s="66" t="s">
        <v>319</v>
      </c>
      <c r="L36" s="66" t="s">
        <v>320</v>
      </c>
      <c r="M36" s="67" t="n">
        <v>0.0013</v>
      </c>
      <c r="N36" s="65" t="s">
        <v>239</v>
      </c>
      <c r="O36" s="66" t="s">
        <v>254</v>
      </c>
      <c r="P36" s="65" t="n">
        <v>100</v>
      </c>
      <c r="Q36" s="63" t="n">
        <f aca="false">I36*$H$5</f>
        <v>30</v>
      </c>
      <c r="R36" s="63" t="n">
        <f aca="false">CEILING(Q36,MAX(1,P36))</f>
        <v>100</v>
      </c>
      <c r="S36" s="68" t="n">
        <f aca="false">IF(M36="","",IF(N36="INR",M36,M36*$H$6))</f>
        <v>0.124657</v>
      </c>
      <c r="T36" s="68" t="n">
        <f aca="false">IF(S36="",0,R36*S36)</f>
        <v>12.4657</v>
      </c>
      <c r="U36" s="68" t="n">
        <f aca="false">IF(T36=0,0,T36/INDEX('Vendors &amp; shipping'!$G$7:$G$12,MATCH(J36,'Vendors &amp; shipping'!$B$7:$B$12,0))*INDEX('Vendors &amp; shipping'!$J$7:$J$12,MATCH(J36,'Vendors &amp; shipping'!$B$7:$B$12,0)))</f>
        <v>20.2648449446471</v>
      </c>
      <c r="V36" s="68" t="n">
        <f aca="false">U36/$H$5</f>
        <v>1.35098966297647</v>
      </c>
      <c r="W36" s="65" t="s">
        <v>231</v>
      </c>
      <c r="X36" s="69" t="s">
        <v>232</v>
      </c>
      <c r="Y36" s="64" t="s">
        <v>321</v>
      </c>
      <c r="Z36" s="70" t="s">
        <v>322</v>
      </c>
      <c r="AA36" s="64" t="s">
        <v>323</v>
      </c>
    </row>
    <row r="37" customFormat="false" ht="33.75" hidden="false" customHeight="true" outlineLevel="0" collapsed="false">
      <c r="B37" s="63" t="n">
        <v>20</v>
      </c>
      <c r="C37" s="64" t="s">
        <v>134</v>
      </c>
      <c r="D37" s="64" t="s">
        <v>324</v>
      </c>
      <c r="E37" s="64" t="s">
        <v>136</v>
      </c>
      <c r="F37" s="63" t="s">
        <v>225</v>
      </c>
      <c r="G37" s="64" t="s">
        <v>137</v>
      </c>
      <c r="H37" s="64" t="s">
        <v>46</v>
      </c>
      <c r="I37" s="65" t="n">
        <v>7</v>
      </c>
      <c r="J37" s="66" t="s">
        <v>237</v>
      </c>
      <c r="K37" s="66" t="s">
        <v>325</v>
      </c>
      <c r="L37" s="66" t="s">
        <v>326</v>
      </c>
      <c r="M37" s="67" t="n">
        <v>0.0009</v>
      </c>
      <c r="N37" s="65" t="s">
        <v>239</v>
      </c>
      <c r="O37" s="66" t="s">
        <v>254</v>
      </c>
      <c r="P37" s="65" t="n">
        <v>100</v>
      </c>
      <c r="Q37" s="63" t="n">
        <f aca="false">I37*$H$5</f>
        <v>105</v>
      </c>
      <c r="R37" s="63" t="n">
        <f aca="false">CEILING(Q37,MAX(1,P37))</f>
        <v>200</v>
      </c>
      <c r="S37" s="68" t="n">
        <f aca="false">IF(M37="","",IF(N37="INR",M37,M37*$H$6))</f>
        <v>0.086301</v>
      </c>
      <c r="T37" s="68" t="n">
        <f aca="false">IF(S37="",0,R37*S37)</f>
        <v>17.2602</v>
      </c>
      <c r="U37" s="68" t="n">
        <f aca="false">IF(T37=0,0,T37/INDEX('Vendors &amp; shipping'!$G$7:$G$12,MATCH(J37,'Vendors &amp; shipping'!$B$7:$B$12,0))*INDEX('Vendors &amp; shipping'!$J$7:$J$12,MATCH(J37,'Vendors &amp; shipping'!$B$7:$B$12,0)))</f>
        <v>28.0590160772036</v>
      </c>
      <c r="V37" s="68" t="n">
        <f aca="false">U37/$H$5</f>
        <v>1.87060107181358</v>
      </c>
      <c r="W37" s="65" t="s">
        <v>231</v>
      </c>
      <c r="X37" s="69" t="s">
        <v>232</v>
      </c>
      <c r="Y37" s="64" t="s">
        <v>327</v>
      </c>
      <c r="Z37" s="64"/>
      <c r="AA37" s="64"/>
    </row>
    <row r="38" customFormat="false" ht="33.75" hidden="false" customHeight="true" outlineLevel="0" collapsed="false">
      <c r="B38" s="63" t="n">
        <v>21</v>
      </c>
      <c r="C38" s="64" t="s">
        <v>139</v>
      </c>
      <c r="D38" s="64" t="s">
        <v>328</v>
      </c>
      <c r="E38" s="64" t="s">
        <v>141</v>
      </c>
      <c r="F38" s="63" t="s">
        <v>225</v>
      </c>
      <c r="G38" s="64" t="s">
        <v>142</v>
      </c>
      <c r="H38" s="64" t="s">
        <v>32</v>
      </c>
      <c r="I38" s="65" t="n">
        <v>3</v>
      </c>
      <c r="J38" s="66" t="s">
        <v>237</v>
      </c>
      <c r="K38" s="66" t="s">
        <v>329</v>
      </c>
      <c r="L38" s="66" t="s">
        <v>330</v>
      </c>
      <c r="M38" s="67" t="n">
        <v>0.001</v>
      </c>
      <c r="N38" s="65" t="s">
        <v>239</v>
      </c>
      <c r="O38" s="66" t="s">
        <v>254</v>
      </c>
      <c r="P38" s="65" t="n">
        <v>100</v>
      </c>
      <c r="Q38" s="63" t="n">
        <f aca="false">I38*$H$5</f>
        <v>45</v>
      </c>
      <c r="R38" s="63" t="n">
        <f aca="false">CEILING(Q38,MAX(1,P38))</f>
        <v>100</v>
      </c>
      <c r="S38" s="68" t="n">
        <f aca="false">IF(M38="","",IF(N38="INR",M38,M38*$H$6))</f>
        <v>0.09589</v>
      </c>
      <c r="T38" s="68" t="n">
        <f aca="false">IF(S38="",0,R38*S38)</f>
        <v>9.589</v>
      </c>
      <c r="U38" s="68" t="n">
        <f aca="false">IF(T38=0,0,T38/INDEX('Vendors &amp; shipping'!$G$7:$G$12,MATCH(J38,'Vendors &amp; shipping'!$B$7:$B$12,0))*INDEX('Vendors &amp; shipping'!$J$7:$J$12,MATCH(J38,'Vendors &amp; shipping'!$B$7:$B$12,0)))</f>
        <v>15.5883422651131</v>
      </c>
      <c r="V38" s="68" t="n">
        <f aca="false">U38/$H$5</f>
        <v>1.03922281767421</v>
      </c>
      <c r="W38" s="65" t="s">
        <v>231</v>
      </c>
      <c r="X38" s="69" t="s">
        <v>232</v>
      </c>
      <c r="Y38" s="64"/>
      <c r="Z38" s="64"/>
      <c r="AA38" s="64" t="s">
        <v>331</v>
      </c>
    </row>
    <row r="39" customFormat="false" ht="33.75" hidden="false" customHeight="true" outlineLevel="0" collapsed="false">
      <c r="B39" s="63" t="n">
        <v>22</v>
      </c>
      <c r="C39" s="64" t="s">
        <v>145</v>
      </c>
      <c r="D39" s="64" t="s">
        <v>332</v>
      </c>
      <c r="E39" s="64" t="s">
        <v>147</v>
      </c>
      <c r="F39" s="63" t="s">
        <v>225</v>
      </c>
      <c r="G39" s="64" t="s">
        <v>148</v>
      </c>
      <c r="H39" s="64" t="s">
        <v>32</v>
      </c>
      <c r="I39" s="65" t="n">
        <v>2</v>
      </c>
      <c r="J39" s="66" t="s">
        <v>237</v>
      </c>
      <c r="K39" s="66" t="s">
        <v>333</v>
      </c>
      <c r="L39" s="66" t="s">
        <v>334</v>
      </c>
      <c r="M39" s="67" t="n">
        <v>0.0017</v>
      </c>
      <c r="N39" s="65" t="s">
        <v>239</v>
      </c>
      <c r="O39" s="66" t="s">
        <v>254</v>
      </c>
      <c r="P39" s="65" t="n">
        <v>100</v>
      </c>
      <c r="Q39" s="63" t="n">
        <f aca="false">I39*$H$5</f>
        <v>30</v>
      </c>
      <c r="R39" s="63" t="n">
        <f aca="false">CEILING(Q39,MAX(1,P39))</f>
        <v>100</v>
      </c>
      <c r="S39" s="68" t="n">
        <f aca="false">IF(M39="","",IF(N39="INR",M39,M39*$H$6))</f>
        <v>0.163013</v>
      </c>
      <c r="T39" s="68" t="n">
        <f aca="false">IF(S39="",0,R39*S39)</f>
        <v>16.3013</v>
      </c>
      <c r="U39" s="68" t="n">
        <f aca="false">IF(T39=0,0,T39/INDEX('Vendors &amp; shipping'!$G$7:$G$12,MATCH(J39,'Vendors &amp; shipping'!$B$7:$B$12,0))*INDEX('Vendors &amp; shipping'!$J$7:$J$12,MATCH(J39,'Vendors &amp; shipping'!$B$7:$B$12,0)))</f>
        <v>26.5001818506923</v>
      </c>
      <c r="V39" s="68" t="n">
        <f aca="false">U39/$H$5</f>
        <v>1.76667879004615</v>
      </c>
      <c r="W39" s="65" t="s">
        <v>231</v>
      </c>
      <c r="X39" s="69" t="s">
        <v>232</v>
      </c>
      <c r="Y39" s="64"/>
      <c r="Z39" s="64"/>
      <c r="AA39" s="64"/>
    </row>
    <row r="40" customFormat="false" ht="78.75" hidden="false" customHeight="true" outlineLevel="0" collapsed="false">
      <c r="B40" s="63" t="n">
        <v>23</v>
      </c>
      <c r="C40" s="64" t="s">
        <v>150</v>
      </c>
      <c r="D40" s="64" t="s">
        <v>335</v>
      </c>
      <c r="E40" s="64" t="s">
        <v>151</v>
      </c>
      <c r="F40" s="63" t="s">
        <v>225</v>
      </c>
      <c r="G40" s="64"/>
      <c r="H40" s="64"/>
      <c r="I40" s="65" t="n">
        <v>1</v>
      </c>
      <c r="J40" s="66" t="s">
        <v>237</v>
      </c>
      <c r="K40" s="66" t="s">
        <v>336</v>
      </c>
      <c r="L40" s="66" t="s">
        <v>337</v>
      </c>
      <c r="M40" s="67" t="n">
        <v>0.082</v>
      </c>
      <c r="N40" s="65" t="s">
        <v>239</v>
      </c>
      <c r="O40" s="66" t="s">
        <v>254</v>
      </c>
      <c r="P40" s="65" t="n">
        <v>1</v>
      </c>
      <c r="Q40" s="63" t="n">
        <f aca="false">I40*$H$5</f>
        <v>15</v>
      </c>
      <c r="R40" s="63" t="n">
        <f aca="false">CEILING(Q40,MAX(1,P40))</f>
        <v>15</v>
      </c>
      <c r="S40" s="68" t="n">
        <f aca="false">IF(M40="","",IF(N40="INR",M40,M40*$H$6))</f>
        <v>7.86298</v>
      </c>
      <c r="T40" s="68" t="n">
        <f aca="false">IF(S40="",0,R40*S40)</f>
        <v>117.9447</v>
      </c>
      <c r="U40" s="68" t="n">
        <f aca="false">IF(T40=0,0,T40/INDEX('Vendors &amp; shipping'!$G$7:$G$12,MATCH(J40,'Vendors &amp; shipping'!$B$7:$B$12,0))*INDEX('Vendors &amp; shipping'!$J$7:$J$12,MATCH(J40,'Vendors &amp; shipping'!$B$7:$B$12,0)))</f>
        <v>191.736609860892</v>
      </c>
      <c r="V40" s="68" t="n">
        <f aca="false">U40/$H$5</f>
        <v>12.7824406573928</v>
      </c>
      <c r="W40" s="65" t="s">
        <v>288</v>
      </c>
      <c r="X40" s="69" t="s">
        <v>232</v>
      </c>
      <c r="Y40" s="64" t="s">
        <v>338</v>
      </c>
      <c r="Z40" s="64"/>
      <c r="AA40" s="64" t="s">
        <v>339</v>
      </c>
    </row>
    <row r="41" customFormat="false" ht="93.75" hidden="false" customHeight="true" outlineLevel="0" collapsed="false">
      <c r="B41" s="63" t="n">
        <v>24</v>
      </c>
      <c r="C41" s="64" t="s">
        <v>153</v>
      </c>
      <c r="D41" s="64" t="s">
        <v>340</v>
      </c>
      <c r="E41" s="64" t="s">
        <v>154</v>
      </c>
      <c r="F41" s="63" t="s">
        <v>225</v>
      </c>
      <c r="G41" s="64"/>
      <c r="H41" s="64"/>
      <c r="I41" s="65" t="n">
        <v>4</v>
      </c>
      <c r="J41" s="66" t="s">
        <v>237</v>
      </c>
      <c r="K41" s="66" t="s">
        <v>341</v>
      </c>
      <c r="L41" s="66" t="s">
        <v>342</v>
      </c>
      <c r="M41" s="67" t="n">
        <v>0.1244</v>
      </c>
      <c r="N41" s="65" t="s">
        <v>239</v>
      </c>
      <c r="O41" s="66" t="s">
        <v>254</v>
      </c>
      <c r="P41" s="65" t="n">
        <v>1</v>
      </c>
      <c r="Q41" s="63" t="n">
        <f aca="false">I41*$H$5</f>
        <v>60</v>
      </c>
      <c r="R41" s="63" t="n">
        <f aca="false">CEILING(Q41,MAX(1,P41))</f>
        <v>60</v>
      </c>
      <c r="S41" s="68" t="n">
        <f aca="false">IF(M41="","",IF(N41="INR",M41,M41*$H$6))</f>
        <v>11.928716</v>
      </c>
      <c r="T41" s="68" t="n">
        <f aca="false">IF(S41="",0,R41*S41)</f>
        <v>715.72296</v>
      </c>
      <c r="U41" s="68" t="n">
        <f aca="false">IF(T41=0,0,T41/INDEX('Vendors &amp; shipping'!$G$7:$G$12,MATCH(J41,'Vendors &amp; shipping'!$B$7:$B$12,0))*INDEX('Vendors &amp; shipping'!$J$7:$J$12,MATCH(J41,'Vendors &amp; shipping'!$B$7:$B$12,0)))</f>
        <v>1163.51386666804</v>
      </c>
      <c r="V41" s="68" t="n">
        <f aca="false">U41/$H$5</f>
        <v>77.5675911112029</v>
      </c>
      <c r="W41" s="65" t="s">
        <v>231</v>
      </c>
      <c r="X41" s="69" t="s">
        <v>232</v>
      </c>
      <c r="Y41" s="64" t="s">
        <v>343</v>
      </c>
      <c r="Z41" s="64"/>
      <c r="AA41" s="64" t="s">
        <v>344</v>
      </c>
    </row>
    <row r="42" customFormat="false" ht="48.75" hidden="false" customHeight="true" outlineLevel="0" collapsed="false">
      <c r="B42" s="63" t="n">
        <v>25</v>
      </c>
      <c r="C42" s="64" t="s">
        <v>159</v>
      </c>
      <c r="D42" s="64" t="s">
        <v>345</v>
      </c>
      <c r="E42" s="64" t="s">
        <v>160</v>
      </c>
      <c r="F42" s="63" t="s">
        <v>225</v>
      </c>
      <c r="G42" s="64"/>
      <c r="H42" s="64"/>
      <c r="I42" s="65" t="n">
        <v>1</v>
      </c>
      <c r="J42" s="66" t="s">
        <v>346</v>
      </c>
      <c r="K42" s="66" t="s">
        <v>159</v>
      </c>
      <c r="L42" s="66"/>
      <c r="M42" s="67" t="n">
        <v>395.3</v>
      </c>
      <c r="N42" s="65" t="s">
        <v>229</v>
      </c>
      <c r="O42" s="66" t="s">
        <v>230</v>
      </c>
      <c r="P42" s="65" t="n">
        <v>1</v>
      </c>
      <c r="Q42" s="63" t="n">
        <f aca="false">I42*$H$5</f>
        <v>15</v>
      </c>
      <c r="R42" s="63" t="n">
        <f aca="false">CEILING(Q42,MAX(1,P42))</f>
        <v>15</v>
      </c>
      <c r="S42" s="68" t="n">
        <f aca="false">IF(M42="","",IF(N42="INR",M42,M42*$H$6))</f>
        <v>395.3</v>
      </c>
      <c r="T42" s="68" t="n">
        <f aca="false">IF(S42="",0,R42*S42)</f>
        <v>5929.5</v>
      </c>
      <c r="U42" s="68" t="n">
        <f aca="false">IF(T42=0,0,T42/INDEX('Vendors &amp; shipping'!$G$7:$G$12,MATCH(J42,'Vendors &amp; shipping'!$B$7:$B$12,0))*INDEX('Vendors &amp; shipping'!$J$7:$J$12,MATCH(J42,'Vendors &amp; shipping'!$B$7:$B$12,0)))</f>
        <v>5929.5</v>
      </c>
      <c r="V42" s="68" t="n">
        <f aca="false">U42/$H$5</f>
        <v>395.3</v>
      </c>
      <c r="W42" s="65" t="s">
        <v>260</v>
      </c>
      <c r="X42" s="69" t="s">
        <v>232</v>
      </c>
      <c r="Y42" s="64" t="s">
        <v>347</v>
      </c>
      <c r="Z42" s="64"/>
      <c r="AA42" s="64" t="s">
        <v>348</v>
      </c>
    </row>
    <row r="43" customFormat="false" ht="78.75" hidden="false" customHeight="true" outlineLevel="0" collapsed="false">
      <c r="B43" s="63" t="n">
        <v>26</v>
      </c>
      <c r="C43" s="64" t="s">
        <v>167</v>
      </c>
      <c r="D43" s="64" t="s">
        <v>349</v>
      </c>
      <c r="E43" s="64" t="s">
        <v>169</v>
      </c>
      <c r="F43" s="63" t="s">
        <v>225</v>
      </c>
      <c r="G43" s="64"/>
      <c r="H43" s="64"/>
      <c r="I43" s="65" t="n">
        <v>1</v>
      </c>
      <c r="J43" s="66" t="s">
        <v>350</v>
      </c>
      <c r="K43" s="66" t="s">
        <v>351</v>
      </c>
      <c r="L43" s="66"/>
      <c r="M43" s="67" t="n">
        <v>144</v>
      </c>
      <c r="N43" s="65" t="s">
        <v>229</v>
      </c>
      <c r="O43" s="66" t="s">
        <v>352</v>
      </c>
      <c r="P43" s="65" t="n">
        <v>1</v>
      </c>
      <c r="Q43" s="63" t="n">
        <f aca="false">I43*$H$5</f>
        <v>15</v>
      </c>
      <c r="R43" s="63" t="n">
        <f aca="false">CEILING(Q43,MAX(1,P43))</f>
        <v>15</v>
      </c>
      <c r="S43" s="68" t="n">
        <f aca="false">IF(M43="","",IF(N43="INR",M43,M43*$H$6))</f>
        <v>144</v>
      </c>
      <c r="T43" s="68" t="n">
        <f aca="false">IF(S43="",0,R43*S43)</f>
        <v>2160</v>
      </c>
      <c r="U43" s="68" t="n">
        <f aca="false">IF(T43=0,0,T43/INDEX('Vendors &amp; shipping'!$G$7:$G$12,MATCH(J43,'Vendors &amp; shipping'!$B$7:$B$12,0))*INDEX('Vendors &amp; shipping'!$J$7:$J$12,MATCH(J43,'Vendors &amp; shipping'!$B$7:$B$12,0)))</f>
        <v>2160</v>
      </c>
      <c r="V43" s="68" t="n">
        <f aca="false">U43/$H$5</f>
        <v>144</v>
      </c>
      <c r="W43" s="65" t="s">
        <v>231</v>
      </c>
      <c r="X43" s="69" t="s">
        <v>232</v>
      </c>
      <c r="Y43" s="64" t="s">
        <v>353</v>
      </c>
      <c r="Z43" s="64"/>
      <c r="AA43" s="64" t="s">
        <v>354</v>
      </c>
    </row>
    <row r="44" customFormat="false" ht="63.75" hidden="false" customHeight="true" outlineLevel="0" collapsed="false">
      <c r="B44" s="63" t="n">
        <v>27</v>
      </c>
      <c r="C44" s="64" t="s">
        <v>170</v>
      </c>
      <c r="D44" s="64" t="s">
        <v>355</v>
      </c>
      <c r="E44" s="64" t="s">
        <v>172</v>
      </c>
      <c r="F44" s="63" t="s">
        <v>225</v>
      </c>
      <c r="G44" s="64"/>
      <c r="H44" s="64" t="s">
        <v>173</v>
      </c>
      <c r="I44" s="65" t="n">
        <v>1</v>
      </c>
      <c r="J44" s="66" t="s">
        <v>237</v>
      </c>
      <c r="K44" s="66" t="s">
        <v>356</v>
      </c>
      <c r="L44" s="66" t="s">
        <v>357</v>
      </c>
      <c r="M44" s="67" t="n">
        <v>1.2328</v>
      </c>
      <c r="N44" s="65" t="s">
        <v>239</v>
      </c>
      <c r="O44" s="66" t="s">
        <v>254</v>
      </c>
      <c r="P44" s="65" t="n">
        <v>1</v>
      </c>
      <c r="Q44" s="63" t="n">
        <f aca="false">I44*$H$5</f>
        <v>15</v>
      </c>
      <c r="R44" s="63" t="n">
        <f aca="false">CEILING(Q44,MAX(1,P44))</f>
        <v>15</v>
      </c>
      <c r="S44" s="68" t="n">
        <f aca="false">IF(M44="","",IF(N44="INR",M44,M44*$H$6))</f>
        <v>118.213192</v>
      </c>
      <c r="T44" s="68" t="n">
        <f aca="false">IF(S44="",0,R44*S44)</f>
        <v>1773.19788</v>
      </c>
      <c r="U44" s="68" t="n">
        <f aca="false">IF(T44=0,0,T44/INDEX('Vendors &amp; shipping'!$G$7:$G$12,MATCH(J44,'Vendors &amp; shipping'!$B$7:$B$12,0))*INDEX('Vendors &amp; shipping'!$J$7:$J$12,MATCH(J44,'Vendors &amp; shipping'!$B$7:$B$12,0)))</f>
        <v>2882.59625166472</v>
      </c>
      <c r="V44" s="68" t="n">
        <f aca="false">U44/$H$5</f>
        <v>192.173083444315</v>
      </c>
      <c r="W44" s="65" t="s">
        <v>288</v>
      </c>
      <c r="X44" s="69" t="s">
        <v>232</v>
      </c>
      <c r="Y44" s="64" t="s">
        <v>358</v>
      </c>
      <c r="Z44" s="64"/>
      <c r="AA44" s="64" t="s">
        <v>359</v>
      </c>
    </row>
    <row r="45" customFormat="false" ht="63.75" hidden="false" customHeight="true" outlineLevel="0" collapsed="false">
      <c r="B45" s="63" t="n">
        <v>28</v>
      </c>
      <c r="C45" s="64" t="s">
        <v>360</v>
      </c>
      <c r="D45" s="64" t="s">
        <v>361</v>
      </c>
      <c r="E45" s="64" t="s">
        <v>362</v>
      </c>
      <c r="F45" s="63" t="s">
        <v>225</v>
      </c>
      <c r="G45" s="64"/>
      <c r="H45" s="64"/>
      <c r="I45" s="65" t="n">
        <v>1</v>
      </c>
      <c r="J45" s="66" t="s">
        <v>237</v>
      </c>
      <c r="K45" s="66" t="s">
        <v>363</v>
      </c>
      <c r="L45" s="66"/>
      <c r="M45" s="67" t="n">
        <v>0.1716</v>
      </c>
      <c r="N45" s="65" t="s">
        <v>239</v>
      </c>
      <c r="O45" s="66" t="s">
        <v>254</v>
      </c>
      <c r="P45" s="65" t="n">
        <v>1</v>
      </c>
      <c r="Q45" s="63" t="n">
        <f aca="false">I45*$H$5</f>
        <v>15</v>
      </c>
      <c r="R45" s="63" t="n">
        <f aca="false">CEILING(Q45,MAX(1,P45))</f>
        <v>15</v>
      </c>
      <c r="S45" s="68" t="n">
        <f aca="false">IF(M45="","",IF(N45="INR",M45,M45*$H$6))</f>
        <v>16.454724</v>
      </c>
      <c r="T45" s="68" t="n">
        <f aca="false">IF(S45="",0,R45*S45)</f>
        <v>246.82086</v>
      </c>
      <c r="U45" s="68" t="n">
        <f aca="false">IF(T45=0,0,T45/INDEX('Vendors &amp; shipping'!$G$7:$G$12,MATCH(J45,'Vendors &amp; shipping'!$B$7:$B$12,0))*INDEX('Vendors &amp; shipping'!$J$7:$J$12,MATCH(J45,'Vendors &amp; shipping'!$B$7:$B$12,0)))</f>
        <v>401.243929904012</v>
      </c>
      <c r="V45" s="68" t="n">
        <f aca="false">U45/$H$5</f>
        <v>26.7495953269341</v>
      </c>
      <c r="W45" s="65" t="s">
        <v>231</v>
      </c>
      <c r="X45" s="69" t="s">
        <v>232</v>
      </c>
      <c r="Y45" s="64" t="s">
        <v>364</v>
      </c>
      <c r="Z45" s="70" t="s">
        <v>365</v>
      </c>
      <c r="AA45" s="64" t="s">
        <v>366</v>
      </c>
    </row>
    <row r="46" customFormat="false" ht="78.75" hidden="false" customHeight="true" outlineLevel="0" collapsed="false">
      <c r="B46" s="63" t="n">
        <v>29</v>
      </c>
      <c r="C46" s="64" t="s">
        <v>367</v>
      </c>
      <c r="D46" s="64" t="s">
        <v>368</v>
      </c>
      <c r="E46" s="64" t="s">
        <v>369</v>
      </c>
      <c r="F46" s="72" t="s">
        <v>370</v>
      </c>
      <c r="G46" s="64"/>
      <c r="H46" s="64"/>
      <c r="I46" s="65" t="n">
        <v>1</v>
      </c>
      <c r="J46" s="66" t="s">
        <v>346</v>
      </c>
      <c r="K46" s="66" t="s">
        <v>367</v>
      </c>
      <c r="L46" s="66"/>
      <c r="M46" s="67" t="n">
        <v>80.24</v>
      </c>
      <c r="N46" s="65" t="s">
        <v>229</v>
      </c>
      <c r="O46" s="66" t="s">
        <v>230</v>
      </c>
      <c r="P46" s="65" t="n">
        <v>1</v>
      </c>
      <c r="Q46" s="63" t="n">
        <f aca="false">I46*$H$5</f>
        <v>15</v>
      </c>
      <c r="R46" s="63" t="n">
        <f aca="false">CEILING(Q46,MAX(1,P46))</f>
        <v>15</v>
      </c>
      <c r="S46" s="68" t="n">
        <f aca="false">IF(M46="","",IF(N46="INR",M46,M46*$H$6))</f>
        <v>80.24</v>
      </c>
      <c r="T46" s="68" t="n">
        <f aca="false">IF(S46="",0,R46*S46)</f>
        <v>1203.6</v>
      </c>
      <c r="U46" s="68" t="n">
        <f aca="false">IF(T46=0,0,T46/INDEX('Vendors &amp; shipping'!$G$7:$G$12,MATCH(J46,'Vendors &amp; shipping'!$B$7:$B$12,0))*INDEX('Vendors &amp; shipping'!$J$7:$J$12,MATCH(J46,'Vendors &amp; shipping'!$B$7:$B$12,0)))</f>
        <v>1203.6</v>
      </c>
      <c r="V46" s="68" t="n">
        <f aca="false">U46/$H$5</f>
        <v>80.24</v>
      </c>
      <c r="W46" s="65" t="s">
        <v>231</v>
      </c>
      <c r="X46" s="69" t="s">
        <v>232</v>
      </c>
      <c r="Y46" s="64" t="s">
        <v>371</v>
      </c>
      <c r="Z46" s="70" t="s">
        <v>372</v>
      </c>
      <c r="AA46" s="64" t="s">
        <v>373</v>
      </c>
    </row>
    <row r="47" customFormat="false" ht="48.75" hidden="false" customHeight="true" outlineLevel="0" collapsed="false">
      <c r="B47" s="63" t="n">
        <v>30</v>
      </c>
      <c r="C47" s="64" t="s">
        <v>374</v>
      </c>
      <c r="D47" s="64" t="s">
        <v>375</v>
      </c>
      <c r="E47" s="64" t="s">
        <v>376</v>
      </c>
      <c r="F47" s="72" t="s">
        <v>370</v>
      </c>
      <c r="G47" s="64"/>
      <c r="H47" s="64"/>
      <c r="I47" s="65" t="n">
        <v>1</v>
      </c>
      <c r="J47" s="66" t="s">
        <v>237</v>
      </c>
      <c r="K47" s="66" t="s">
        <v>377</v>
      </c>
      <c r="L47" s="66"/>
      <c r="M47" s="67" t="n">
        <v>0.0263</v>
      </c>
      <c r="N47" s="65" t="s">
        <v>239</v>
      </c>
      <c r="O47" s="66" t="s">
        <v>254</v>
      </c>
      <c r="P47" s="65" t="n">
        <v>1</v>
      </c>
      <c r="Q47" s="63" t="n">
        <f aca="false">I47*$H$5</f>
        <v>15</v>
      </c>
      <c r="R47" s="63" t="n">
        <f aca="false">CEILING(Q47,MAX(1,P47))</f>
        <v>15</v>
      </c>
      <c r="S47" s="68" t="n">
        <f aca="false">IF(M47="","",IF(N47="INR",M47,M47*$H$6))</f>
        <v>2.521907</v>
      </c>
      <c r="T47" s="68" t="n">
        <f aca="false">IF(S47="",0,R47*S47)</f>
        <v>37.828605</v>
      </c>
      <c r="U47" s="68" t="n">
        <f aca="false">IF(T47=0,0,T47/INDEX('Vendors &amp; shipping'!$G$7:$G$12,MATCH(J47,'Vendors &amp; shipping'!$B$7:$B$12,0))*INDEX('Vendors &amp; shipping'!$J$7:$J$12,MATCH(J47,'Vendors &amp; shipping'!$B$7:$B$12,0)))</f>
        <v>61.4960102358713</v>
      </c>
      <c r="V47" s="68" t="n">
        <f aca="false">U47/$H$5</f>
        <v>4.09973401572475</v>
      </c>
      <c r="W47" s="65" t="s">
        <v>288</v>
      </c>
      <c r="X47" s="69" t="s">
        <v>232</v>
      </c>
      <c r="Y47" s="64" t="s">
        <v>378</v>
      </c>
      <c r="Z47" s="70" t="s">
        <v>379</v>
      </c>
      <c r="AA47" s="64" t="s">
        <v>380</v>
      </c>
    </row>
    <row r="48" customFormat="false" ht="63.75" hidden="false" customHeight="true" outlineLevel="0" collapsed="false">
      <c r="B48" s="63" t="n">
        <v>31</v>
      </c>
      <c r="C48" s="64" t="s">
        <v>381</v>
      </c>
      <c r="D48" s="64" t="s">
        <v>382</v>
      </c>
      <c r="E48" s="64" t="s">
        <v>376</v>
      </c>
      <c r="F48" s="72" t="s">
        <v>370</v>
      </c>
      <c r="G48" s="64"/>
      <c r="H48" s="64"/>
      <c r="I48" s="65" t="n">
        <v>2</v>
      </c>
      <c r="J48" s="66" t="s">
        <v>237</v>
      </c>
      <c r="K48" s="66" t="s">
        <v>383</v>
      </c>
      <c r="L48" s="66"/>
      <c r="M48" s="67" t="n">
        <v>0.0068</v>
      </c>
      <c r="N48" s="65" t="s">
        <v>239</v>
      </c>
      <c r="O48" s="66" t="s">
        <v>254</v>
      </c>
      <c r="P48" s="65" t="n">
        <v>1</v>
      </c>
      <c r="Q48" s="63" t="n">
        <f aca="false">I48*$H$5</f>
        <v>30</v>
      </c>
      <c r="R48" s="63" t="n">
        <f aca="false">CEILING(Q48,MAX(1,P48))</f>
        <v>30</v>
      </c>
      <c r="S48" s="68" t="n">
        <f aca="false">IF(M48="","",IF(N48="INR",M48,M48*$H$6))</f>
        <v>0.652052</v>
      </c>
      <c r="T48" s="68" t="n">
        <f aca="false">IF(S48="",0,R48*S48)</f>
        <v>19.56156</v>
      </c>
      <c r="U48" s="68" t="n">
        <f aca="false">IF(T48=0,0,T48/INDEX('Vendors &amp; shipping'!$G$7:$G$12,MATCH(J48,'Vendors &amp; shipping'!$B$7:$B$12,0))*INDEX('Vendors &amp; shipping'!$J$7:$J$12,MATCH(J48,'Vendors &amp; shipping'!$B$7:$B$12,0)))</f>
        <v>31.8002182208308</v>
      </c>
      <c r="V48" s="68" t="n">
        <f aca="false">U48/$H$5</f>
        <v>2.12001454805539</v>
      </c>
      <c r="W48" s="65" t="s">
        <v>260</v>
      </c>
      <c r="X48" s="69" t="s">
        <v>232</v>
      </c>
      <c r="Y48" s="64" t="s">
        <v>384</v>
      </c>
      <c r="Z48" s="70" t="s">
        <v>379</v>
      </c>
      <c r="AA48" s="64" t="s">
        <v>385</v>
      </c>
    </row>
    <row r="49" customFormat="false" ht="63.75" hidden="false" customHeight="true" outlineLevel="0" collapsed="false">
      <c r="B49" s="63" t="n">
        <v>32</v>
      </c>
      <c r="C49" s="64" t="s">
        <v>386</v>
      </c>
      <c r="D49" s="64" t="s">
        <v>387</v>
      </c>
      <c r="E49" s="64" t="s">
        <v>388</v>
      </c>
      <c r="F49" s="72" t="s">
        <v>370</v>
      </c>
      <c r="G49" s="64"/>
      <c r="H49" s="64"/>
      <c r="I49" s="65" t="n">
        <v>1</v>
      </c>
      <c r="J49" s="66" t="s">
        <v>237</v>
      </c>
      <c r="K49" s="66" t="s">
        <v>389</v>
      </c>
      <c r="L49" s="66"/>
      <c r="M49" s="67" t="n">
        <v>0.9055</v>
      </c>
      <c r="N49" s="65" t="s">
        <v>239</v>
      </c>
      <c r="O49" s="66" t="s">
        <v>254</v>
      </c>
      <c r="P49" s="65" t="n">
        <v>1</v>
      </c>
      <c r="Q49" s="63" t="n">
        <f aca="false">I49*$H$5</f>
        <v>15</v>
      </c>
      <c r="R49" s="63" t="n">
        <f aca="false">CEILING(Q49,MAX(1,P49))</f>
        <v>15</v>
      </c>
      <c r="S49" s="68" t="n">
        <f aca="false">IF(M49="","",IF(N49="INR",M49,M49*$H$6))</f>
        <v>86.828395</v>
      </c>
      <c r="T49" s="68" t="n">
        <f aca="false">IF(S49="",0,R49*S49)</f>
        <v>1302.425925</v>
      </c>
      <c r="U49" s="68" t="n">
        <f aca="false">IF(T49=0,0,T49/INDEX('Vendors &amp; shipping'!$G$7:$G$12,MATCH(J49,'Vendors &amp; shipping'!$B$7:$B$12,0))*INDEX('Vendors &amp; shipping'!$J$7:$J$12,MATCH(J49,'Vendors &amp; shipping'!$B$7:$B$12,0)))</f>
        <v>2117.28658815899</v>
      </c>
      <c r="V49" s="68" t="n">
        <f aca="false">U49/$H$5</f>
        <v>141.152439210599</v>
      </c>
      <c r="W49" s="65" t="s">
        <v>260</v>
      </c>
      <c r="X49" s="69" t="s">
        <v>232</v>
      </c>
      <c r="Y49" s="64" t="s">
        <v>390</v>
      </c>
      <c r="Z49" s="70" t="s">
        <v>391</v>
      </c>
      <c r="AA49" s="64" t="s">
        <v>392</v>
      </c>
    </row>
    <row r="50" customFormat="false" ht="15" hidden="false" customHeight="false" outlineLevel="0" collapsed="false">
      <c r="I50" s="73" t="n">
        <f aca="false">SUM(I18:I49)</f>
        <v>63</v>
      </c>
      <c r="S50" s="74" t="s">
        <v>393</v>
      </c>
      <c r="T50" s="75" t="n">
        <f aca="false">SUM(T18:T49)</f>
        <v>28889.015655</v>
      </c>
      <c r="U50" s="75" t="n">
        <f aca="false">SUM(U18:U49)</f>
        <v>36254.64950805</v>
      </c>
      <c r="V50" s="76" t="n">
        <f aca="false">SUM(V18:V49)</f>
        <v>2416.97663387</v>
      </c>
    </row>
    <row r="51" customFormat="false" ht="15" hidden="false" customHeight="false" outlineLevel="0" collapsed="false">
      <c r="S51" s="77" t="s">
        <v>394</v>
      </c>
      <c r="U51" s="78" t="str">
        <f aca="false">IF(ABS(U50-'Vendors &amp; shipping'!J13)&lt;1,"= vendors sheet","MISMATCH")</f>
        <v>= vendors sheet</v>
      </c>
    </row>
    <row r="54" customFormat="false" ht="15" hidden="false" customHeight="false" outlineLevel="0" collapsed="false">
      <c r="B54" s="79" t="s">
        <v>223</v>
      </c>
    </row>
    <row r="55" customFormat="false" ht="31.5" hidden="false" customHeight="true" outlineLevel="0" collapsed="false">
      <c r="B55" s="80" t="s">
        <v>395</v>
      </c>
      <c r="C55" s="80"/>
      <c r="D55" s="80"/>
      <c r="E55" s="80"/>
      <c r="F55" s="80"/>
      <c r="G55" s="80"/>
      <c r="H55" s="80"/>
      <c r="I55" s="80"/>
      <c r="J55" s="80"/>
      <c r="K55" s="80"/>
      <c r="L55" s="80"/>
      <c r="M55" s="80"/>
      <c r="N55" s="80"/>
      <c r="O55" s="80"/>
    </row>
    <row r="56" customFormat="false" ht="31.5" hidden="false" customHeight="true" outlineLevel="0" collapsed="false">
      <c r="B56" s="80" t="s">
        <v>396</v>
      </c>
      <c r="C56" s="80"/>
      <c r="D56" s="80"/>
      <c r="E56" s="80"/>
      <c r="F56" s="80"/>
      <c r="G56" s="80"/>
      <c r="H56" s="80"/>
      <c r="I56" s="80"/>
      <c r="J56" s="80"/>
      <c r="K56" s="80"/>
      <c r="L56" s="80"/>
      <c r="M56" s="80"/>
      <c r="N56" s="80"/>
      <c r="O56" s="80"/>
    </row>
    <row r="57" customFormat="false" ht="31.5" hidden="false" customHeight="true" outlineLevel="0" collapsed="false">
      <c r="B57" s="80" t="s">
        <v>397</v>
      </c>
      <c r="C57" s="80"/>
      <c r="D57" s="80"/>
      <c r="E57" s="80"/>
      <c r="F57" s="80"/>
      <c r="G57" s="80"/>
      <c r="H57" s="80"/>
      <c r="I57" s="80"/>
      <c r="J57" s="80"/>
      <c r="K57" s="80"/>
      <c r="L57" s="80"/>
      <c r="M57" s="80"/>
      <c r="N57" s="80"/>
      <c r="O57" s="80"/>
    </row>
    <row r="58" customFormat="false" ht="31.5" hidden="false" customHeight="true" outlineLevel="0" collapsed="false">
      <c r="B58" s="80" t="s">
        <v>398</v>
      </c>
      <c r="C58" s="80"/>
      <c r="D58" s="80"/>
      <c r="E58" s="80"/>
      <c r="F58" s="80"/>
      <c r="G58" s="80"/>
      <c r="H58" s="80"/>
      <c r="I58" s="80"/>
      <c r="J58" s="80"/>
      <c r="K58" s="80"/>
      <c r="L58" s="80"/>
      <c r="M58" s="80"/>
      <c r="N58" s="80"/>
      <c r="O58" s="80"/>
    </row>
    <row r="59" customFormat="false" ht="31.5" hidden="false" customHeight="true" outlineLevel="0" collapsed="false">
      <c r="B59" s="80" t="s">
        <v>399</v>
      </c>
      <c r="C59" s="80"/>
      <c r="D59" s="80"/>
      <c r="E59" s="80"/>
      <c r="F59" s="80"/>
      <c r="G59" s="80"/>
      <c r="H59" s="80"/>
      <c r="I59" s="80"/>
      <c r="J59" s="80"/>
      <c r="K59" s="80"/>
      <c r="L59" s="80"/>
      <c r="M59" s="80"/>
      <c r="N59" s="80"/>
      <c r="O59" s="80"/>
    </row>
    <row r="60" customFormat="false" ht="16.5" hidden="false" customHeight="true" outlineLevel="0" collapsed="false">
      <c r="B60" s="80" t="s">
        <v>400</v>
      </c>
      <c r="C60" s="80"/>
      <c r="D60" s="80"/>
      <c r="E60" s="80"/>
      <c r="F60" s="80"/>
      <c r="G60" s="80"/>
      <c r="H60" s="80"/>
      <c r="I60" s="80"/>
      <c r="J60" s="80"/>
      <c r="K60" s="80"/>
      <c r="L60" s="80"/>
      <c r="M60" s="80"/>
      <c r="N60" s="80"/>
      <c r="O60" s="80"/>
    </row>
    <row r="61" customFormat="false" ht="31.5" hidden="false" customHeight="true" outlineLevel="0" collapsed="false">
      <c r="B61" s="80" t="s">
        <v>401</v>
      </c>
      <c r="C61" s="80"/>
      <c r="D61" s="80"/>
      <c r="E61" s="80"/>
      <c r="F61" s="80"/>
      <c r="G61" s="80"/>
      <c r="H61" s="80"/>
      <c r="I61" s="80"/>
      <c r="J61" s="80"/>
      <c r="K61" s="80"/>
      <c r="L61" s="80"/>
      <c r="M61" s="80"/>
      <c r="N61" s="80"/>
      <c r="O61" s="80"/>
    </row>
    <row r="62" customFormat="false" ht="16.5" hidden="false" customHeight="true" outlineLevel="0" collapsed="false">
      <c r="B62" s="80" t="s">
        <v>402</v>
      </c>
      <c r="C62" s="80"/>
      <c r="D62" s="80"/>
      <c r="E62" s="80"/>
      <c r="F62" s="80"/>
      <c r="G62" s="80"/>
      <c r="H62" s="80"/>
      <c r="I62" s="80"/>
      <c r="J62" s="80"/>
      <c r="K62" s="80"/>
      <c r="L62" s="80"/>
      <c r="M62" s="80"/>
      <c r="N62" s="80"/>
      <c r="O62" s="80"/>
    </row>
    <row r="63" customFormat="false" ht="31.5" hidden="false" customHeight="true" outlineLevel="0" collapsed="false">
      <c r="B63" s="80" t="s">
        <v>403</v>
      </c>
      <c r="C63" s="80"/>
      <c r="D63" s="80"/>
      <c r="E63" s="80"/>
      <c r="F63" s="80"/>
      <c r="G63" s="80"/>
      <c r="H63" s="80"/>
      <c r="I63" s="80"/>
      <c r="J63" s="80"/>
      <c r="K63" s="80"/>
      <c r="L63" s="80"/>
      <c r="M63" s="80"/>
      <c r="N63" s="80"/>
      <c r="O63" s="80"/>
    </row>
  </sheetData>
  <autoFilter ref="B17:AA49"/>
  <mergeCells count="9">
    <mergeCell ref="B55:O55"/>
    <mergeCell ref="B56:O56"/>
    <mergeCell ref="B57:O57"/>
    <mergeCell ref="B58:O58"/>
    <mergeCell ref="B59:O59"/>
    <mergeCell ref="B60:O60"/>
    <mergeCell ref="B61:O61"/>
    <mergeCell ref="B62:O62"/>
    <mergeCell ref="B63:O63"/>
  </mergeCells>
  <hyperlinks>
    <hyperlink ref="X18" r:id="rId2" display="open"/>
    <hyperlink ref="X19" r:id="rId3" display="open"/>
    <hyperlink ref="X20" r:id="rId4" display="open"/>
    <hyperlink ref="X21" r:id="rId5" display="open"/>
    <hyperlink ref="X22" r:id="rId6" display="open"/>
    <hyperlink ref="X23" r:id="rId7" display="open"/>
    <hyperlink ref="X24" r:id="rId8" display="open"/>
    <hyperlink ref="X25" r:id="rId9" display="open"/>
    <hyperlink ref="X26" r:id="rId10" display="open"/>
    <hyperlink ref="X27" r:id="rId11" display="open"/>
    <hyperlink ref="X28" r:id="rId12" display="open"/>
    <hyperlink ref="X29" r:id="rId13" display="open"/>
    <hyperlink ref="X30" r:id="rId14" display="open"/>
    <hyperlink ref="X31" r:id="rId15" display="open"/>
    <hyperlink ref="X32" r:id="rId16" display="open"/>
    <hyperlink ref="X33" r:id="rId17" display="open"/>
    <hyperlink ref="X34" r:id="rId18" display="open"/>
    <hyperlink ref="X35" r:id="rId19" display="open"/>
    <hyperlink ref="X36" r:id="rId20" display="open"/>
    <hyperlink ref="X37" r:id="rId21" display="open"/>
    <hyperlink ref="X38" r:id="rId22" display="open"/>
    <hyperlink ref="X39" r:id="rId23" display="open"/>
    <hyperlink ref="X40" r:id="rId24" display="open"/>
    <hyperlink ref="X41" r:id="rId25" display="open"/>
    <hyperlink ref="X42" r:id="rId26" display="open"/>
    <hyperlink ref="X43" r:id="rId27" display="open"/>
    <hyperlink ref="X44" r:id="rId28" display="open"/>
    <hyperlink ref="X45" r:id="rId29" display="open"/>
    <hyperlink ref="X46" r:id="rId30" display="open"/>
    <hyperlink ref="X47" r:id="rId31" display="open"/>
    <hyperlink ref="X48" r:id="rId32" display="open"/>
    <hyperlink ref="X49" r:id="rId33" display="open"/>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34"/>
  <legacyDrawing r:id="rId3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0"/>
    <col collapsed="false" customWidth="true" hidden="false" outlineLevel="0" max="5" min="4" style="0" width="11"/>
    <col collapsed="false" customWidth="true" hidden="false" outlineLevel="0" max="6" min="6" style="0" width="10"/>
    <col collapsed="false" customWidth="true" hidden="false" outlineLevel="0" max="7" min="7" style="0" width="12"/>
    <col collapsed="false" customWidth="true" hidden="false" outlineLevel="0" max="9" min="8" style="0" width="11"/>
    <col collapsed="false" customWidth="true" hidden="false" outlineLevel="0" max="10" min="10" style="0" width="12"/>
    <col collapsed="false" customWidth="true" hidden="false" outlineLevel="0" max="11" min="11" style="0" width="7"/>
    <col collapsed="false" customWidth="true" hidden="false" outlineLevel="0" max="12" min="12" style="0" width="70"/>
  </cols>
  <sheetData>
    <row r="2" customFormat="false" ht="22.05" hidden="false" customHeight="false" outlineLevel="0" collapsed="false">
      <c r="B2" s="81" t="s">
        <v>404</v>
      </c>
    </row>
    <row r="3" customFormat="false" ht="15" hidden="false" customHeight="false" outlineLevel="0" collapsed="false">
      <c r="B3" s="77" t="s">
        <v>405</v>
      </c>
    </row>
    <row r="4" customFormat="false" ht="15" hidden="false" customHeight="false" outlineLevel="0" collapsed="false">
      <c r="B4" s="77" t="s">
        <v>406</v>
      </c>
    </row>
    <row r="6" customFormat="false" ht="48" hidden="false" customHeight="true" outlineLevel="0" collapsed="false">
      <c r="B6" s="62" t="s">
        <v>407</v>
      </c>
      <c r="C6" s="62" t="s">
        <v>408</v>
      </c>
      <c r="D6" s="62" t="s">
        <v>409</v>
      </c>
      <c r="E6" s="62" t="s">
        <v>410</v>
      </c>
      <c r="F6" s="62" t="s">
        <v>411</v>
      </c>
      <c r="G6" s="62" t="s">
        <v>412</v>
      </c>
      <c r="H6" s="62" t="s">
        <v>413</v>
      </c>
      <c r="I6" s="62" t="s">
        <v>414</v>
      </c>
      <c r="J6" s="62" t="s">
        <v>415</v>
      </c>
      <c r="K6" s="62" t="s">
        <v>416</v>
      </c>
      <c r="L6" s="62" t="s">
        <v>417</v>
      </c>
    </row>
    <row r="7" customFormat="false" ht="78.75" hidden="false" customHeight="true" outlineLevel="0" collapsed="false">
      <c r="B7" s="64" t="s">
        <v>237</v>
      </c>
      <c r="C7" s="64" t="s">
        <v>418</v>
      </c>
      <c r="D7" s="82" t="n">
        <v>2100</v>
      </c>
      <c r="E7" s="82" t="n">
        <v>0</v>
      </c>
      <c r="F7" s="83" t="n">
        <v>0.31</v>
      </c>
      <c r="G7" s="84" t="n">
        <f aca="false">SUMIF('Priced BoM'!$J$18:$J$49,B7,'Priced BoM'!$T$18:$T$49)</f>
        <v>8715.394155</v>
      </c>
      <c r="H7" s="84" t="n">
        <f aca="false">IF(G7=0,0,IF(AND(E7&gt;0,G7&gt;=E7),0,D7))</f>
        <v>2100</v>
      </c>
      <c r="I7" s="84" t="n">
        <f aca="false">(G7+H7)*F7</f>
        <v>3352.77218805</v>
      </c>
      <c r="J7" s="84" t="n">
        <f aca="false">G7+H7+I7</f>
        <v>14168.16634305</v>
      </c>
      <c r="K7" s="63" t="n">
        <f aca="false">COUNTIF('Priced BoM'!$J$18:$J$49,B7)</f>
        <v>26</v>
      </c>
      <c r="L7" s="64" t="s">
        <v>419</v>
      </c>
    </row>
    <row r="8" customFormat="false" ht="33.75" hidden="false" customHeight="true" outlineLevel="0" collapsed="false">
      <c r="B8" s="64" t="s">
        <v>82</v>
      </c>
      <c r="C8" s="64" t="s">
        <v>418</v>
      </c>
      <c r="D8" s="82" t="n">
        <v>0</v>
      </c>
      <c r="E8" s="82" t="n">
        <v>4795</v>
      </c>
      <c r="F8" s="83" t="n">
        <v>0.31</v>
      </c>
      <c r="G8" s="84" t="n">
        <f aca="false">SUMIF('Priced BoM'!$J$18:$J$49,B8,'Priced BoM'!$T$18:$T$49)</f>
        <v>6170.5215</v>
      </c>
      <c r="H8" s="84" t="n">
        <f aca="false">IF(G8=0,0,IF(AND(E8&gt;0,G8&gt;=E8),0,D8))</f>
        <v>0</v>
      </c>
      <c r="I8" s="84" t="n">
        <f aca="false">(G8+H8)*F8</f>
        <v>1912.861665</v>
      </c>
      <c r="J8" s="84" t="n">
        <f aca="false">G8+H8+I8</f>
        <v>8083.383165</v>
      </c>
      <c r="K8" s="63" t="n">
        <f aca="false">COUNTIF('Priced BoM'!$J$18:$J$49,B8)</f>
        <v>1</v>
      </c>
      <c r="L8" s="64" t="s">
        <v>420</v>
      </c>
    </row>
    <row r="9" customFormat="false" ht="33.75" hidden="false" customHeight="true" outlineLevel="0" collapsed="false">
      <c r="B9" s="64" t="s">
        <v>346</v>
      </c>
      <c r="C9" s="64" t="s">
        <v>421</v>
      </c>
      <c r="D9" s="82" t="n">
        <v>53</v>
      </c>
      <c r="E9" s="82" t="n">
        <v>1180</v>
      </c>
      <c r="F9" s="83" t="n">
        <v>0</v>
      </c>
      <c r="G9" s="84" t="n">
        <f aca="false">SUMIF('Priced BoM'!$J$18:$J$49,B9,'Priced BoM'!$T$18:$T$49)</f>
        <v>7133.1</v>
      </c>
      <c r="H9" s="84" t="n">
        <f aca="false">IF(G9=0,0,IF(AND(E9&gt;0,G9&gt;=E9),0,D9))</f>
        <v>0</v>
      </c>
      <c r="I9" s="84" t="n">
        <f aca="false">(G9+H9)*F9</f>
        <v>0</v>
      </c>
      <c r="J9" s="84" t="n">
        <f aca="false">G9+H9+I9</f>
        <v>7133.1</v>
      </c>
      <c r="K9" s="63" t="n">
        <f aca="false">COUNTIF('Priced BoM'!$J$18:$J$49,B9)</f>
        <v>2</v>
      </c>
      <c r="L9" s="64" t="s">
        <v>422</v>
      </c>
    </row>
    <row r="10" customFormat="false" ht="33.75" hidden="false" customHeight="true" outlineLevel="0" collapsed="false">
      <c r="B10" s="64" t="s">
        <v>226</v>
      </c>
      <c r="C10" s="64" t="s">
        <v>423</v>
      </c>
      <c r="D10" s="82" t="n">
        <v>0</v>
      </c>
      <c r="E10" s="82" t="n">
        <v>499</v>
      </c>
      <c r="F10" s="83" t="n">
        <v>0</v>
      </c>
      <c r="G10" s="84" t="n">
        <f aca="false">SUMIF('Priced BoM'!$J$18:$J$49,B10,'Priced BoM'!$T$18:$T$49)</f>
        <v>4710</v>
      </c>
      <c r="H10" s="84" t="n">
        <f aca="false">IF(G10=0,0,IF(AND(E10&gt;0,G10&gt;=E10),0,D10))</f>
        <v>0</v>
      </c>
      <c r="I10" s="84" t="n">
        <f aca="false">(G10+H10)*F10</f>
        <v>0</v>
      </c>
      <c r="J10" s="84" t="n">
        <f aca="false">G10+H10+I10</f>
        <v>4710</v>
      </c>
      <c r="K10" s="63" t="n">
        <f aca="false">COUNTIF('Priced BoM'!$J$18:$J$49,B10)</f>
        <v>1</v>
      </c>
      <c r="L10" s="64" t="s">
        <v>424</v>
      </c>
    </row>
    <row r="11" customFormat="false" ht="33.75" hidden="false" customHeight="true" outlineLevel="0" collapsed="false">
      <c r="B11" s="64" t="s">
        <v>350</v>
      </c>
      <c r="C11" s="64" t="s">
        <v>423</v>
      </c>
      <c r="D11" s="82" t="n">
        <v>0</v>
      </c>
      <c r="E11" s="82" t="n">
        <v>500</v>
      </c>
      <c r="F11" s="83" t="n">
        <v>0</v>
      </c>
      <c r="G11" s="84" t="n">
        <f aca="false">SUMIF('Priced BoM'!$J$18:$J$49,B11,'Priced BoM'!$T$18:$T$49)</f>
        <v>2160</v>
      </c>
      <c r="H11" s="84" t="n">
        <f aca="false">IF(G11=0,0,IF(AND(E11&gt;0,G11&gt;=E11),0,D11))</f>
        <v>0</v>
      </c>
      <c r="I11" s="84" t="n">
        <f aca="false">(G11+H11)*F11</f>
        <v>0</v>
      </c>
      <c r="J11" s="84" t="n">
        <f aca="false">G11+H11+I11</f>
        <v>2160</v>
      </c>
      <c r="K11" s="63" t="n">
        <f aca="false">COUNTIF('Priced BoM'!$J$18:$J$49,B11)</f>
        <v>1</v>
      </c>
      <c r="L11" s="64" t="s">
        <v>425</v>
      </c>
    </row>
    <row r="12" customFormat="false" ht="33.75" hidden="false" customHeight="true" outlineLevel="0" collapsed="false">
      <c r="B12" s="64" t="s">
        <v>286</v>
      </c>
      <c r="C12" s="64" t="s">
        <v>418</v>
      </c>
      <c r="D12" s="82" t="n">
        <v>0</v>
      </c>
      <c r="E12" s="82" t="n">
        <v>0</v>
      </c>
      <c r="F12" s="83" t="n">
        <v>0.31</v>
      </c>
      <c r="G12" s="84" t="n">
        <f aca="false">SUMIF('Priced BoM'!$J$18:$J$49,B12,'Priced BoM'!$T$18:$T$49)</f>
        <v>0</v>
      </c>
      <c r="H12" s="84" t="n">
        <f aca="false">IF(G12=0,0,IF(AND(E12&gt;0,G12&gt;=E12),0,D12))</f>
        <v>0</v>
      </c>
      <c r="I12" s="84" t="n">
        <f aca="false">(G12+H12)*F12</f>
        <v>0</v>
      </c>
      <c r="J12" s="84" t="n">
        <f aca="false">G12+H12+I12</f>
        <v>0</v>
      </c>
      <c r="K12" s="63" t="n">
        <f aca="false">COUNTIF('Priced BoM'!$J$18:$J$49,B12)</f>
        <v>1</v>
      </c>
      <c r="L12" s="64" t="s">
        <v>426</v>
      </c>
    </row>
    <row r="13" customFormat="false" ht="15" hidden="false" customHeight="false" outlineLevel="0" collapsed="false">
      <c r="B13" s="57" t="s">
        <v>393</v>
      </c>
      <c r="G13" s="75" t="n">
        <f aca="false">SUM(G7:G12)</f>
        <v>28889.015655</v>
      </c>
      <c r="H13" s="75" t="n">
        <f aca="false">SUM(H7:H12)</f>
        <v>2100</v>
      </c>
      <c r="I13" s="75" t="n">
        <f aca="false">SUM(I7:I12)</f>
        <v>5265.63385305</v>
      </c>
      <c r="J13" s="75" t="n">
        <f aca="false">SUM(J7:J12)</f>
        <v>36254.64950805</v>
      </c>
      <c r="K13" s="73" t="n">
        <f aca="false">SUM(K7:K12)</f>
        <v>32</v>
      </c>
    </row>
    <row r="14" customFormat="false" ht="15" hidden="false" customHeight="false" outlineLevel="0" collapsed="false">
      <c r="B14" s="77" t="s">
        <v>427</v>
      </c>
      <c r="K14" s="78" t="str">
        <f aca="false">IF(K13=COUNTA('Priced BoM'!$C$18:$C$49),"OK","MISSING")</f>
        <v>OK</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26"/>
    <col collapsed="false" customWidth="true" hidden="false" outlineLevel="0" max="4" min="4" style="0" width="30"/>
    <col collapsed="false" customWidth="true" hidden="false" outlineLevel="0" max="5" min="5" style="0" width="13"/>
    <col collapsed="false" customWidth="true" hidden="false" outlineLevel="0" max="6" min="6" style="0" width="16"/>
    <col collapsed="false" customWidth="true" hidden="false" outlineLevel="0" max="7" min="7" style="0" width="52"/>
    <col collapsed="false" customWidth="true" hidden="false" outlineLevel="0" max="8" min="8" style="0" width="38"/>
  </cols>
  <sheetData>
    <row r="2" customFormat="false" ht="19.7" hidden="false" customHeight="false" outlineLevel="0" collapsed="false">
      <c r="B2" s="85" t="s">
        <v>428</v>
      </c>
    </row>
    <row r="3" customFormat="false" ht="15" hidden="false" customHeight="false" outlineLevel="0" collapsed="false">
      <c r="B3" s="77" t="s">
        <v>429</v>
      </c>
    </row>
    <row r="5" customFormat="false" ht="15" hidden="false" customHeight="false" outlineLevel="0" collapsed="false">
      <c r="B5" s="62" t="s">
        <v>14</v>
      </c>
      <c r="C5" s="62" t="s">
        <v>430</v>
      </c>
      <c r="D5" s="62" t="s">
        <v>431</v>
      </c>
      <c r="E5" s="62" t="s">
        <v>432</v>
      </c>
      <c r="F5" s="62" t="s">
        <v>433</v>
      </c>
      <c r="G5" s="62" t="s">
        <v>434</v>
      </c>
      <c r="H5" s="62" t="s">
        <v>435</v>
      </c>
    </row>
    <row r="6" customFormat="false" ht="18" hidden="false" customHeight="true" outlineLevel="0" collapsed="false">
      <c r="B6" s="64" t="s">
        <v>113</v>
      </c>
      <c r="C6" s="64" t="s">
        <v>112</v>
      </c>
      <c r="D6" s="64" t="s">
        <v>436</v>
      </c>
      <c r="E6" s="86" t="n">
        <v>1</v>
      </c>
      <c r="F6" s="64" t="s">
        <v>437</v>
      </c>
      <c r="G6" s="64" t="s">
        <v>438</v>
      </c>
      <c r="H6" s="64" t="s">
        <v>439</v>
      </c>
    </row>
    <row r="7" customFormat="false" ht="18" hidden="false" customHeight="true" outlineLevel="0" collapsed="false">
      <c r="B7" s="64" t="s">
        <v>440</v>
      </c>
      <c r="C7" s="64" t="s">
        <v>35</v>
      </c>
      <c r="D7" s="64" t="s">
        <v>441</v>
      </c>
      <c r="E7" s="86" t="n">
        <v>1</v>
      </c>
      <c r="F7" s="64" t="s">
        <v>437</v>
      </c>
      <c r="G7" s="64" t="s">
        <v>442</v>
      </c>
      <c r="H7" s="64" t="s">
        <v>443</v>
      </c>
    </row>
    <row r="8" customFormat="false" ht="18" hidden="false" customHeight="true" outlineLevel="0" collapsed="false">
      <c r="B8" s="64" t="s">
        <v>165</v>
      </c>
      <c r="C8" s="64" t="s">
        <v>163</v>
      </c>
      <c r="D8" s="64" t="s">
        <v>444</v>
      </c>
      <c r="E8" s="86" t="n">
        <v>1</v>
      </c>
      <c r="F8" s="64" t="s">
        <v>445</v>
      </c>
      <c r="G8" s="64" t="s">
        <v>446</v>
      </c>
      <c r="H8" s="64" t="s">
        <v>439</v>
      </c>
    </row>
    <row r="9" customFormat="false" ht="18" hidden="false" customHeight="true" outlineLevel="0" collapsed="false">
      <c r="B9" s="64" t="s">
        <v>447</v>
      </c>
      <c r="C9" s="64" t="s">
        <v>28</v>
      </c>
      <c r="D9" s="64" t="s">
        <v>448</v>
      </c>
      <c r="E9" s="86" t="n">
        <v>1</v>
      </c>
      <c r="F9" s="64" t="s">
        <v>445</v>
      </c>
      <c r="G9" s="64" t="s">
        <v>449</v>
      </c>
      <c r="H9" s="64" t="s">
        <v>450</v>
      </c>
    </row>
    <row r="10" customFormat="false" ht="18" hidden="false" customHeight="true" outlineLevel="0" collapsed="false">
      <c r="B10" s="64" t="s">
        <v>451</v>
      </c>
      <c r="C10" s="64" t="s">
        <v>42</v>
      </c>
      <c r="D10" s="64" t="s">
        <v>452</v>
      </c>
      <c r="E10" s="86" t="n">
        <v>1</v>
      </c>
      <c r="F10" s="64" t="s">
        <v>445</v>
      </c>
      <c r="G10" s="64" t="s">
        <v>453</v>
      </c>
      <c r="H10" s="64" t="s">
        <v>454</v>
      </c>
    </row>
    <row r="11" customFormat="false" ht="18" hidden="false" customHeight="true" outlineLevel="0" collapsed="false">
      <c r="B11" s="64" t="s">
        <v>455</v>
      </c>
      <c r="C11" s="64" t="s">
        <v>128</v>
      </c>
      <c r="D11" s="64" t="s">
        <v>456</v>
      </c>
      <c r="E11" s="86" t="n">
        <v>1</v>
      </c>
      <c r="F11" s="64" t="s">
        <v>445</v>
      </c>
      <c r="G11" s="64" t="s">
        <v>457</v>
      </c>
      <c r="H11" s="64" t="s">
        <v>458</v>
      </c>
    </row>
    <row r="12" customFormat="false" ht="18" hidden="false" customHeight="true" outlineLevel="0" collapsed="false">
      <c r="B12" s="64" t="s">
        <v>459</v>
      </c>
      <c r="C12" s="64" t="s">
        <v>128</v>
      </c>
      <c r="D12" s="64" t="s">
        <v>456</v>
      </c>
      <c r="E12" s="86" t="n">
        <v>1</v>
      </c>
      <c r="F12" s="64" t="s">
        <v>445</v>
      </c>
      <c r="G12" s="64" t="s">
        <v>460</v>
      </c>
      <c r="H12" s="64" t="s">
        <v>461</v>
      </c>
    </row>
    <row r="13" customFormat="false" ht="18" hidden="false" customHeight="true" outlineLevel="0" collapsed="false">
      <c r="B13" s="64" t="s">
        <v>75</v>
      </c>
      <c r="C13" s="64" t="s">
        <v>73</v>
      </c>
      <c r="D13" s="64" t="s">
        <v>462</v>
      </c>
      <c r="E13" s="86" t="n">
        <v>2</v>
      </c>
      <c r="F13" s="64" t="s">
        <v>445</v>
      </c>
      <c r="G13" s="64" t="s">
        <v>463</v>
      </c>
      <c r="H13" s="64" t="s">
        <v>439</v>
      </c>
    </row>
    <row r="14" customFormat="false" ht="33" hidden="false" customHeight="true" outlineLevel="0" collapsed="false">
      <c r="B14" s="64" t="s">
        <v>51</v>
      </c>
      <c r="C14" s="64" t="s">
        <v>49</v>
      </c>
      <c r="D14" s="64" t="s">
        <v>464</v>
      </c>
      <c r="E14" s="86" t="n">
        <v>2</v>
      </c>
      <c r="F14" s="64" t="s">
        <v>445</v>
      </c>
      <c r="G14" s="64" t="s">
        <v>463</v>
      </c>
      <c r="H14" s="64" t="s">
        <v>465</v>
      </c>
    </row>
    <row r="15" customFormat="false" ht="18" hidden="false" customHeight="true" outlineLevel="0" collapsed="false">
      <c r="B15" s="64" t="s">
        <v>466</v>
      </c>
      <c r="C15" s="64" t="s">
        <v>97</v>
      </c>
      <c r="D15" s="64" t="s">
        <v>467</v>
      </c>
      <c r="E15" s="86" t="n">
        <v>1</v>
      </c>
      <c r="F15" s="64" t="s">
        <v>445</v>
      </c>
      <c r="G15" s="64" t="s">
        <v>468</v>
      </c>
      <c r="H15" s="64" t="s">
        <v>469</v>
      </c>
    </row>
    <row r="16" customFormat="false" ht="48" hidden="false" customHeight="true" outlineLevel="0" collapsed="false">
      <c r="B16" s="64" t="s">
        <v>157</v>
      </c>
      <c r="C16" s="64" t="s">
        <v>156</v>
      </c>
      <c r="D16" s="64" t="s">
        <v>470</v>
      </c>
      <c r="E16" s="86" t="n">
        <v>1</v>
      </c>
      <c r="F16" s="64" t="s">
        <v>471</v>
      </c>
      <c r="G16" s="64" t="s">
        <v>472</v>
      </c>
      <c r="H16" s="64" t="s">
        <v>439</v>
      </c>
    </row>
    <row r="17" customFormat="false" ht="15" hidden="false" customHeight="false" outlineLevel="0" collapsed="false">
      <c r="D17" s="57" t="s">
        <v>473</v>
      </c>
      <c r="E17" s="87" t="n">
        <f aca="false">SUM(E6:E16)</f>
        <v>13</v>
      </c>
    </row>
    <row r="20" customFormat="false" ht="19.7" hidden="false" customHeight="false" outlineLevel="0" collapsed="false">
      <c r="B20" s="85" t="s">
        <v>474</v>
      </c>
    </row>
    <row r="21" customFormat="false" ht="15" hidden="false" customHeight="false" outlineLevel="0" collapsed="false">
      <c r="B21" s="77" t="s">
        <v>475</v>
      </c>
    </row>
    <row r="23" customFormat="false" ht="15" hidden="false" customHeight="false" outlineLevel="0" collapsed="false">
      <c r="B23" s="62" t="s">
        <v>14</v>
      </c>
      <c r="C23" s="62" t="s">
        <v>476</v>
      </c>
      <c r="D23" s="62" t="s">
        <v>13</v>
      </c>
      <c r="E23" s="62" t="s">
        <v>432</v>
      </c>
      <c r="F23" s="62" t="s">
        <v>204</v>
      </c>
      <c r="G23" s="62" t="s">
        <v>477</v>
      </c>
      <c r="H23" s="62" t="s">
        <v>478</v>
      </c>
    </row>
    <row r="24" customFormat="false" ht="48" hidden="false" customHeight="true" outlineLevel="0" collapsed="false">
      <c r="B24" s="64" t="s">
        <v>479</v>
      </c>
      <c r="C24" s="64" t="s">
        <v>360</v>
      </c>
      <c r="D24" s="64" t="s">
        <v>480</v>
      </c>
      <c r="E24" s="86" t="n">
        <v>1</v>
      </c>
      <c r="F24" s="64" t="s">
        <v>225</v>
      </c>
      <c r="G24" s="64" t="s">
        <v>481</v>
      </c>
      <c r="H24" s="64" t="s">
        <v>482</v>
      </c>
    </row>
    <row r="25" customFormat="false" ht="33" hidden="false" customHeight="true" outlineLevel="0" collapsed="false">
      <c r="B25" s="64" t="s">
        <v>369</v>
      </c>
      <c r="C25" s="64" t="s">
        <v>367</v>
      </c>
      <c r="D25" s="64" t="s">
        <v>483</v>
      </c>
      <c r="E25" s="86" t="n">
        <v>1</v>
      </c>
      <c r="F25" s="64" t="s">
        <v>370</v>
      </c>
      <c r="G25" s="64" t="s">
        <v>484</v>
      </c>
      <c r="H25" s="64" t="s">
        <v>482</v>
      </c>
    </row>
    <row r="26" customFormat="false" ht="18" hidden="false" customHeight="true" outlineLevel="0" collapsed="false">
      <c r="B26" s="64" t="s">
        <v>376</v>
      </c>
      <c r="C26" s="64" t="s">
        <v>374</v>
      </c>
      <c r="D26" s="64" t="s">
        <v>485</v>
      </c>
      <c r="E26" s="86" t="n">
        <v>1</v>
      </c>
      <c r="F26" s="64" t="s">
        <v>370</v>
      </c>
      <c r="G26" s="64" t="s">
        <v>486</v>
      </c>
      <c r="H26" s="64" t="s">
        <v>482</v>
      </c>
    </row>
    <row r="27" customFormat="false" ht="18" hidden="false" customHeight="true" outlineLevel="0" collapsed="false">
      <c r="B27" s="64" t="s">
        <v>376</v>
      </c>
      <c r="C27" s="64" t="s">
        <v>381</v>
      </c>
      <c r="D27" s="64" t="s">
        <v>487</v>
      </c>
      <c r="E27" s="86" t="n">
        <v>2</v>
      </c>
      <c r="F27" s="64" t="s">
        <v>370</v>
      </c>
      <c r="G27" s="64" t="s">
        <v>488</v>
      </c>
      <c r="H27" s="64" t="s">
        <v>482</v>
      </c>
    </row>
    <row r="28" customFormat="false" ht="48" hidden="false" customHeight="true" outlineLevel="0" collapsed="false">
      <c r="B28" s="64" t="s">
        <v>388</v>
      </c>
      <c r="C28" s="64" t="s">
        <v>386</v>
      </c>
      <c r="D28" s="64" t="s">
        <v>489</v>
      </c>
      <c r="E28" s="86" t="n">
        <v>1</v>
      </c>
      <c r="F28" s="64" t="s">
        <v>370</v>
      </c>
      <c r="G28" s="64" t="s">
        <v>490</v>
      </c>
      <c r="H28" s="64" t="s">
        <v>482</v>
      </c>
    </row>
    <row r="29" customFormat="false" ht="15" hidden="false" customHeight="false" outlineLevel="0" collapsed="false">
      <c r="D29" s="57" t="s">
        <v>491</v>
      </c>
      <c r="E29" s="87" t="n">
        <f aca="false">SUMIF(F24:F28,"PCB",E24:E28)</f>
        <v>1</v>
      </c>
    </row>
    <row r="31" customFormat="false" ht="15" hidden="false" customHeight="false" outlineLevel="0" collapsed="false">
      <c r="D31" s="51" t="s">
        <v>492</v>
      </c>
      <c r="E31" s="88" t="n">
        <f aca="false">'Master-BoM'!J44-E17+E29</f>
        <v>58</v>
      </c>
      <c r="F31" s="77" t="str">
        <f aca="false">IF(E31=SUMIF('Priced BoM'!$F$18:$F$49,"PCB",'Priced BoM'!$I$18:$I$49),"matches Priced BoM PCB parts","MISMATCH")</f>
        <v>matches Priced BoM PCB parts</v>
      </c>
    </row>
    <row r="33" customFormat="false" ht="15" hidden="false" customHeight="false" outlineLevel="0" collapsed="false">
      <c r="B33" s="77" t="s">
        <v>493</v>
      </c>
    </row>
    <row r="34" customFormat="false" ht="15" hidden="false" customHeight="false" outlineLevel="0" collapsed="false">
      <c r="B34" s="77" t="s">
        <v>494</v>
      </c>
    </row>
    <row r="37" customFormat="false" ht="19.7" hidden="false" customHeight="false" outlineLevel="0" collapsed="false">
      <c r="B37" s="85" t="s">
        <v>495</v>
      </c>
    </row>
    <row r="38" customFormat="false" ht="31.5" hidden="false" customHeight="true" outlineLevel="0" collapsed="false">
      <c r="B38" s="80" t="s">
        <v>496</v>
      </c>
      <c r="C38" s="80"/>
      <c r="D38" s="80"/>
      <c r="E38" s="80"/>
      <c r="F38" s="80"/>
      <c r="G38" s="80"/>
      <c r="H38" s="80"/>
    </row>
    <row r="39" customFormat="false" ht="46.5" hidden="false" customHeight="true" outlineLevel="0" collapsed="false">
      <c r="B39" s="80" t="s">
        <v>497</v>
      </c>
      <c r="C39" s="80"/>
      <c r="D39" s="80"/>
      <c r="E39" s="80"/>
      <c r="F39" s="80"/>
      <c r="G39" s="80"/>
      <c r="H39" s="80"/>
    </row>
    <row r="40" customFormat="false" ht="31.5" hidden="false" customHeight="true" outlineLevel="0" collapsed="false">
      <c r="B40" s="80" t="s">
        <v>498</v>
      </c>
      <c r="C40" s="80"/>
      <c r="D40" s="80"/>
      <c r="E40" s="80"/>
      <c r="F40" s="80"/>
      <c r="G40" s="80"/>
      <c r="H40" s="80"/>
    </row>
    <row r="41" customFormat="false" ht="31.5" hidden="false" customHeight="true" outlineLevel="0" collapsed="false">
      <c r="B41" s="80" t="s">
        <v>499</v>
      </c>
      <c r="C41" s="80"/>
      <c r="D41" s="80"/>
      <c r="E41" s="80"/>
      <c r="F41" s="80"/>
      <c r="G41" s="80"/>
      <c r="H41" s="80"/>
    </row>
    <row r="42" customFormat="false" ht="31.5" hidden="false" customHeight="true" outlineLevel="0" collapsed="false">
      <c r="B42" s="80" t="s">
        <v>500</v>
      </c>
      <c r="C42" s="80"/>
      <c r="D42" s="80"/>
      <c r="E42" s="80"/>
      <c r="F42" s="80"/>
      <c r="G42" s="80"/>
      <c r="H42" s="80"/>
    </row>
    <row r="43" customFormat="false" ht="16.5" hidden="false" customHeight="true" outlineLevel="0" collapsed="false">
      <c r="B43" s="80" t="s">
        <v>501</v>
      </c>
      <c r="C43" s="80"/>
      <c r="D43" s="80"/>
      <c r="E43" s="80"/>
      <c r="F43" s="80"/>
      <c r="G43" s="80"/>
      <c r="H43" s="80"/>
    </row>
    <row r="44" customFormat="false" ht="31.5" hidden="false" customHeight="true" outlineLevel="0" collapsed="false">
      <c r="B44" s="80" t="s">
        <v>502</v>
      </c>
      <c r="C44" s="80"/>
      <c r="D44" s="80"/>
      <c r="E44" s="80"/>
      <c r="F44" s="80"/>
      <c r="G44" s="80"/>
      <c r="H44" s="80"/>
    </row>
    <row r="45" customFormat="false" ht="31.5" hidden="false" customHeight="true" outlineLevel="0" collapsed="false">
      <c r="B45" s="80" t="s">
        <v>503</v>
      </c>
      <c r="C45" s="80"/>
      <c r="D45" s="80"/>
      <c r="E45" s="80"/>
      <c r="F45" s="80"/>
      <c r="G45" s="80"/>
      <c r="H45" s="80"/>
    </row>
  </sheetData>
  <mergeCells count="8">
    <mergeCell ref="B38:H38"/>
    <mergeCell ref="B39:H39"/>
    <mergeCell ref="B40:H40"/>
    <mergeCell ref="B41:H41"/>
    <mergeCell ref="B42:H42"/>
    <mergeCell ref="B43:H43"/>
    <mergeCell ref="B44:H44"/>
    <mergeCell ref="B45:H4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2013-12-31T18:23:59Z</dcterms:created>
  <dc:creator>NAJEEM SYED</dc:creator>
  <dc:description/>
  <cp:keywords>BoM</cp:keywords>
  <dc:language>en-US</dc:language>
  <cp:lastModifiedBy>NAJEEM SYED</cp:lastModifiedBy>
  <cp:lastPrinted>2025-12-10T12:35:29Z</cp:lastPrinted>
  <dcterms:modified xsi:type="dcterms:W3CDTF">2026-09-27T20:22:13Z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