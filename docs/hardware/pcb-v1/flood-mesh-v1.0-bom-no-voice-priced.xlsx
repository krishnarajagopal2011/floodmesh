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ster-BoM" sheetId="1" state="visible" r:id="rId3"/>
    <sheet name="No-Voice BoM (Priced)" sheetId="2" state="visible" r:id="rId4"/>
    <sheet name="Removed (Voice)" sheetId="3" state="visible" r:id="rId5"/>
  </sheets>
  <definedNames>
    <definedName function="false" hidden="false" localSheetId="1" name="_xlnm.Print_Titles" vbProcedure="false">'No-Voice BoM (Priced)'!$12:$12</definedName>
    <definedName function="false" hidden="true" localSheetId="1" name="_xlnm._FilterDatabase" vbProcedure="false">'No-Voice BoM (Priced)'!$B$12:$Y$40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Number of boards you plan to build. Drives 'Order qty for build' and 'Ext. for build'.</t>
        </r>
      </text>
    </comment>
    <comment ref="G6" authorId="0">
      <text>
        <r>
          <rPr>
            <sz val="10"/>
            <rFont val="Arial"/>
            <family val="2"/>
          </rPr>
          <t xml:space="preserve">USD/INR 95.886 on 25-Sep-2026; 95.8-95.99 on 26-Sep-2026 (search results citing tradingeconomics.com and exchangerates.org.uk). Replace with your bank or DigiKey India rate.</t>
        </r>
      </text>
    </comment>
    <comment ref="L13" authorId="0">
      <text>
        <r>
          <rPr>
            <sz val="10"/>
            <rFont val="Arial"/>
            <family val="2"/>
          </rPr>
          <t xml:space="preserve">Adafruit 2011, 3.7 V 2000 mAh, JST-PH, DigiKey 1528-1857-ND. India alternative: Robu.in R218005 2000 mAh at ₹314 incl. GST (connector listed only as '2-pin JST'; PH pitch and polarity not confirmed).</t>
        </r>
      </text>
    </comment>
    <comment ref="L14" authorId="0">
      <text>
        <r>
          <rPr>
            <sz val="10"/>
            <rFont val="Arial"/>
            <family val="2"/>
          </rPr>
          <t xml:space="preserve">Future Electronics (listed vendor) shows reel pricing only: $0.0201 @4,000, no stock, 20-week lead time. LCSC C19702 $0.0065 @50+.</t>
        </r>
      </text>
    </comment>
    <comment ref="L15" authorId="0">
      <text>
        <r>
          <rPr>
            <sz val="10"/>
            <rFont val="Arial"/>
            <family val="2"/>
          </rPr>
          <t xml:space="preserve">Out of stock at DigiKey (backorder). Mouser $0.11; Arrow $0.0454 @57+. One search gave DigiKey $0.065.</t>
        </r>
      </text>
    </comment>
    <comment ref="L16" authorId="0">
      <text>
        <r>
          <rPr>
            <sz val="10"/>
            <rFont val="Arial"/>
            <family val="2"/>
          </rPr>
          <t xml:space="preserve">DigiKey (listed vendor) price not retrievable; DigiKey shows it in stock.</t>
        </r>
      </text>
    </comment>
    <comment ref="L17" authorId="0">
      <text>
        <r>
          <rPr>
            <sz val="10"/>
            <rFont val="Arial"/>
            <family val="2"/>
          </rPr>
          <t xml:space="preserve">DigiKey (listed vendor) price not retrievable; in stock at DigiKey.</t>
        </r>
      </text>
    </comment>
    <comment ref="L18" authorId="0">
      <text>
        <r>
          <rPr>
            <sz val="10"/>
            <rFont val="Arial"/>
            <family val="2"/>
          </rPr>
          <t xml:space="preserve">DigiKey breaks $0.252 @10, $0.17 @100. One search said DigiKey is backorder-only. Arrow $0.148 @1, $0.0965 @10, in stock.</t>
        </r>
      </text>
    </comment>
    <comment ref="L19" authorId="0">
      <text>
        <r>
          <rPr>
            <sz val="10"/>
            <rFont val="Arial"/>
            <family val="2"/>
          </rPr>
          <t xml:space="preserve">DigiKey stock status conflicts between listings. LCSC from $0.0551.</t>
        </r>
      </text>
    </comment>
    <comment ref="L21" authorId="0">
      <text>
        <r>
          <rPr>
            <sz val="10"/>
            <rFont val="Arial"/>
            <family val="2"/>
          </rPr>
          <t xml:space="preserve">Seeed Studio store: $4.29.</t>
        </r>
      </text>
    </comment>
    <comment ref="L22" authorId="0">
      <text>
        <r>
          <rPr>
            <sz val="10"/>
            <rFont val="Arial"/>
            <family val="2"/>
          </rPr>
          <t xml:space="preserve">Searches disagreed ($3.62 vs $4.22). DigiKey breaks (via Octopart): $3.193 @10, $2.654 @100. Mouser $4.22 @1.</t>
        </r>
      </text>
    </comment>
    <comment ref="L23" authorId="0">
      <text>
        <r>
          <rPr>
            <sz val="10"/>
            <rFont val="Arial"/>
            <family val="2"/>
          </rPr>
          <t xml:space="preserve">A DigiKey India listing showed ₹107.31 (page not confirmed).</t>
        </r>
      </text>
    </comment>
    <comment ref="L24" authorId="0">
      <text>
        <r>
          <rPr>
            <sz val="10"/>
            <rFont val="Arial"/>
            <family val="2"/>
          </rPr>
          <t xml:space="preserve">Kit out of stock at DigiKey (backorder). Newark $2.29. Non-kit USB4730-GF-A: $1.72 @1, in stock.</t>
        </r>
      </text>
    </comment>
    <comment ref="L25" authorId="0">
      <text>
        <r>
          <rPr>
            <sz val="10"/>
            <rFont val="Arial"/>
            <family val="2"/>
          </rPr>
          <t xml:space="preserve">Arrow (listed vendor) price not retrievable. TLC range $0.0495-$0.1032 by quantity.</t>
        </r>
      </text>
    </comment>
    <comment ref="L26" authorId="0">
      <text>
        <r>
          <rPr>
            <sz val="10"/>
            <rFont val="Arial"/>
            <family val="2"/>
          </rPr>
          <t xml:space="preserve">No vendor page found for this MPN; price came from a search summary with no vendor. Link is the Würth datasheet.</t>
        </r>
      </text>
    </comment>
    <comment ref="L27" authorId="0">
      <text>
        <r>
          <rPr>
            <sz val="10"/>
            <rFont val="Arial"/>
            <family val="2"/>
          </rPr>
          <t xml:space="preserve">DigiKey (listed vendor) price not retrievable. Arrow shows $0.3094 at an unstated quantity (probably a volume break). Sibling CMT-0904-83T is $0.96 at DigiKey.</t>
        </r>
      </text>
    </comment>
    <comment ref="L28" authorId="0">
      <text>
        <r>
          <rPr>
            <sz val="10"/>
            <rFont val="Arial"/>
            <family val="2"/>
          </rPr>
          <t xml:space="preserve">Stock figures conflicted between searches.</t>
        </r>
      </text>
    </comment>
    <comment ref="L29" authorId="0">
      <text>
        <r>
          <rPr>
            <sz val="10"/>
            <rFont val="Arial"/>
            <family val="2"/>
          </rPr>
          <t xml:space="preserve">Breaks $0.0096 @200, $0.0091 @1,000. No DigiKey or Mouser listing seen for this exact MPN.</t>
        </r>
      </text>
    </comment>
    <comment ref="L30" authorId="0">
      <text>
        <r>
          <rPr>
            <sz val="10"/>
            <rFont val="Arial"/>
            <family val="2"/>
          </rPr>
          <t xml:space="preserve">DigiKey-stocked equivalent: Yageo RC0402FR-07220RL, DigiKey 311-220LRCT-ND (price not retrievable).</t>
        </r>
      </text>
    </comment>
    <comment ref="L31" authorId="0">
      <text>
        <r>
          <rPr>
            <sz val="10"/>
            <rFont val="Arial"/>
            <family val="2"/>
          </rPr>
          <t xml:space="preserve">DigiKey (listed vendor) price not retrievable. Future $0.0136 @10,000. Lion Circuits (India) ₹10.34 @10.</t>
        </r>
      </text>
    </comment>
    <comment ref="L32" authorId="0">
      <text>
        <r>
          <rPr>
            <sz val="10"/>
            <rFont val="Arial"/>
            <family val="2"/>
          </rPr>
          <t xml:space="preserve">DigiKey (listed vendor) price not retrievable. Future $0.0019 @10,000.</t>
        </r>
      </text>
    </comment>
    <comment ref="L33" authorId="0">
      <text>
        <r>
          <rPr>
            <sz val="10"/>
            <rFont val="Arial"/>
            <family val="2"/>
          </rPr>
          <t xml:space="preserve">DigiKey (listed vendor) price not retrievable. TTI $0.0165 @5,000.</t>
        </r>
      </text>
    </comment>
    <comment ref="L34" authorId="0">
      <text>
        <r>
          <rPr>
            <sz val="10"/>
            <rFont val="Arial"/>
            <family val="2"/>
          </rPr>
          <t xml:space="preserve">No price found anywhere. Uses the same-series, same-size AC0603FR-7W5K1L price; chip resistor price does not depend on value.</t>
        </r>
      </text>
    </comment>
    <comment ref="L35" authorId="0">
      <text>
        <r>
          <rPr>
            <sz val="10"/>
            <rFont val="Arial"/>
            <family val="2"/>
          </rPr>
          <t xml:space="preserve">No price found for the -135 variant. Uses DigiKey's price for TS11-674-43-BK-160-RA-D, the same switch with a different actuation force.</t>
        </r>
      </text>
    </comment>
    <comment ref="L38" authorId="0">
      <text>
        <r>
          <rPr>
            <sz val="10"/>
            <rFont val="Arial"/>
            <family val="2"/>
          </rPr>
          <t xml:space="preserve">Same $6.76 in three separate searches. LCSC from $3.40.</t>
        </r>
      </text>
    </comment>
    <comment ref="L39" authorId="0">
      <text>
        <r>
          <rPr>
            <sz val="10"/>
            <rFont val="Arial"/>
            <family val="2"/>
          </rPr>
          <t xml:space="preserve">DigiKey does not stock a generic 4-pin module itself: DigiKey Marketplace (Universal Solder 26095) $7.99; Adafruit 326 $17.50.</t>
        </r>
      </text>
    </comment>
    <comment ref="L40" authorId="0">
      <text>
        <r>
          <rPr>
            <sz val="10"/>
            <rFont val="Arial"/>
            <family val="2"/>
          </rPr>
          <t xml:space="preserve">Mouser also $1.14.</t>
        </r>
      </text>
    </comment>
  </commentList>
</comments>
</file>

<file path=xl/sharedStrings.xml><?xml version="1.0" encoding="utf-8"?>
<sst xmlns="http://schemas.openxmlformats.org/spreadsheetml/2006/main" count="690" uniqueCount="350">
  <si>
    <t xml:space="preserve">Bill of Materials</t>
  </si>
  <si>
    <t xml:space="preserve">Flood Mesh</t>
  </si>
  <si>
    <t xml:space="preserve">Designed By</t>
  </si>
  <si>
    <t xml:space="preserve">Organization:</t>
  </si>
  <si>
    <t xml:space="preserve">Vazworks</t>
  </si>
  <si>
    <t xml:space="preserve">Project ID:</t>
  </si>
  <si>
    <t xml:space="preserve">NA</t>
  </si>
  <si>
    <t xml:space="preserve">Revision:</t>
  </si>
  <si>
    <t xml:space="preserve">V1.0</t>
  </si>
  <si>
    <t xml:space="preserve">Date:</t>
  </si>
  <si>
    <t xml:space="preserve">22-09-2026</t>
  </si>
  <si>
    <t xml:space="preserve">Variant:</t>
  </si>
  <si>
    <t xml:space="preserve">Manufacture Part Number</t>
  </si>
  <si>
    <t xml:space="preserve">Description</t>
  </si>
  <si>
    <t xml:space="preserve">Designator</t>
  </si>
  <si>
    <t xml:space="preserve">Value</t>
  </si>
  <si>
    <t xml:space="preserve">Package (Imperial)</t>
  </si>
  <si>
    <t xml:space="preserve">Manufacturer</t>
  </si>
  <si>
    <t xml:space="preserve">Supplier</t>
  </si>
  <si>
    <t xml:space="preserve">Supplier Part Number</t>
  </si>
  <si>
    <t xml:space="preserve">Quantity</t>
  </si>
  <si>
    <t xml:space="preserve">Manufacturer Part Number 1</t>
  </si>
  <si>
    <t xml:space="preserve">Case/Package</t>
  </si>
  <si>
    <t xml:space="preserve">Manufacturer 1</t>
  </si>
  <si>
    <t xml:space="preserve">Supplier 1</t>
  </si>
  <si>
    <t xml:space="preserve">Supplier Part Number 1</t>
  </si>
  <si>
    <t xml:space="preserve">LiPo Battery</t>
  </si>
  <si>
    <t xml:space="preserve">BT1</t>
  </si>
  <si>
    <t xml:space="preserve">CL10A106KP8NNNC</t>
  </si>
  <si>
    <t xml:space="preserve">10V 10uF X5R ±10% 0603 Multilayer Ceramic Capacitors MLCC - SMD/SMT ROHS</t>
  </si>
  <si>
    <t xml:space="preserve">C1, C4, C6, C17, C24, C25</t>
  </si>
  <si>
    <t xml:space="preserve">10µF</t>
  </si>
  <si>
    <t xml:space="preserve">0603</t>
  </si>
  <si>
    <t xml:space="preserve">Samsung Electro-Mechanics</t>
  </si>
  <si>
    <t xml:space="preserve">Future Electronics</t>
  </si>
  <si>
    <t xml:space="preserve">GRM188R60J106ME47D</t>
  </si>
  <si>
    <t xml:space="preserve">Ceramic Capacitor, Multilayer, Ceramic, 6.3V, 20% +Tol, 20% -Tol, X5R, 15% TC, 10uF, Surface Mount, 0603</t>
  </si>
  <si>
    <t xml:space="preserve">C2, C19, C20</t>
  </si>
  <si>
    <t xml:space="preserve">10uF</t>
  </si>
  <si>
    <t xml:space="preserve">Murata</t>
  </si>
  <si>
    <t xml:space="preserve">DigiKey</t>
  </si>
  <si>
    <t xml:space="preserve">490-3896-1-ND</t>
  </si>
  <si>
    <t xml:space="preserve">CC0402JRX7R8BB104</t>
  </si>
  <si>
    <t xml:space="preserve">25V 100nF X7R ±5% 0402 Multilayer Ceramic Capacitors MLCC - SMD/SMT ROHS</t>
  </si>
  <si>
    <t xml:space="preserve">C5, C7, C8, C11, C12, C13, C14, C15, C16, C18, C22, C23</t>
  </si>
  <si>
    <t xml:space="preserve">0u1</t>
  </si>
  <si>
    <t xml:space="preserve">0402</t>
  </si>
  <si>
    <t xml:space="preserve">Yageo Group</t>
  </si>
  <si>
    <t xml:space="preserve">13-CC0402JRX7R8BB104CT-ND</t>
  </si>
  <si>
    <t xml:space="preserve">C0603C471J5RACAUTO</t>
  </si>
  <si>
    <t xml:space="preserve">50V 470pF X7R ±5% 0603 Multilayer Ceramic Capacitors MLCC - SMD/SMT ROHS</t>
  </si>
  <si>
    <t xml:space="preserve">C9, C10</t>
  </si>
  <si>
    <t xml:space="preserve">470pF</t>
  </si>
  <si>
    <t xml:space="preserve">399-C0603C471J5RACAUTOCT-ND</t>
  </si>
  <si>
    <t xml:space="preserve">GRM188Z71C225KE43J</t>
  </si>
  <si>
    <t xml:space="preserve">Cap, Mlcc, 2.2Uf, X7R, 16V, 0603 Rohs Compliant: Yes |Murata GRM188Z71C225KE43J</t>
  </si>
  <si>
    <t xml:space="preserve">C21</t>
  </si>
  <si>
    <t xml:space="preserve">2u2</t>
  </si>
  <si>
    <t xml:space="preserve">490-GRM188Z71C225KE43JCT-ND</t>
  </si>
  <si>
    <t xml:space="preserve">ESDA7P60-1U1M</t>
  </si>
  <si>
    <t xml:space="preserve">TVS DIODE 5V 11.6V 1610</t>
  </si>
  <si>
    <t xml:space="preserve">D1, D3</t>
  </si>
  <si>
    <t xml:space="preserve">STMicroelectronics</t>
  </si>
  <si>
    <t xml:space="preserve">497-16253-1-ND</t>
  </si>
  <si>
    <t xml:space="preserve">SM4007PLTP</t>
  </si>
  <si>
    <t xml:space="preserve">Diode</t>
  </si>
  <si>
    <t xml:space="preserve">D2</t>
  </si>
  <si>
    <t xml:space="preserve">MCC</t>
  </si>
  <si>
    <t xml:space="preserve">SM4007PL-TPMSDKR-ND</t>
  </si>
  <si>
    <t xml:space="preserve">LTST-C195KGJRKT</t>
  </si>
  <si>
    <t xml:space="preserve">D4</t>
  </si>
  <si>
    <t xml:space="preserve">Diodes Inc.</t>
  </si>
  <si>
    <t xml:space="preserve">160-1452-1-ND</t>
  </si>
  <si>
    <t xml:space="preserve">MPZ2012S300ATD25</t>
  </si>
  <si>
    <t xml:space="preserve">FERRITE BEAD 30 OHM 0805 1LN</t>
  </si>
  <si>
    <t xml:space="preserve">FB1, FB2</t>
  </si>
  <si>
    <t xml:space="preserve">0805</t>
  </si>
  <si>
    <t xml:space="preserve">TDK</t>
  </si>
  <si>
    <t xml:space="preserve">445-MPZ2012S300ATD25DKR-ND</t>
  </si>
  <si>
    <t xml:space="preserve">114993390</t>
  </si>
  <si>
    <t xml:space="preserve">Integrated Circuit</t>
  </si>
  <si>
    <t xml:space="preserve">IC1</t>
  </si>
  <si>
    <t xml:space="preserve">Seeed Studio</t>
  </si>
  <si>
    <t xml:space="preserve">1597-114993390DKR-ND</t>
  </si>
  <si>
    <t xml:space="preserve">MAX17048G+T10</t>
  </si>
  <si>
    <t xml:space="preserve">IC2</t>
  </si>
  <si>
    <t xml:space="preserve">Analog Devices</t>
  </si>
  <si>
    <t xml:space="preserve">MAX17048G+T10DKR-ND</t>
  </si>
  <si>
    <t xml:space="preserve">TPS6282533DMQR</t>
  </si>
  <si>
    <t xml:space="preserve">IC3</t>
  </si>
  <si>
    <t xml:space="preserve">Texas Instruments</t>
  </si>
  <si>
    <t xml:space="preserve">296-TPS6282533DMQRDKR-ND</t>
  </si>
  <si>
    <t xml:space="preserve">USB4730-GF-A-KIT</t>
  </si>
  <si>
    <t xml:space="preserve">Connector</t>
  </si>
  <si>
    <t xml:space="preserve">J1</t>
  </si>
  <si>
    <t xml:space="preserve">Global Connector Technology</t>
  </si>
  <si>
    <t xml:space="preserve">2073-USB4730-GF-A-KITDKR-ND</t>
  </si>
  <si>
    <t xml:space="preserve">B2B-PH-KL(LF)(SN)</t>
  </si>
  <si>
    <t xml:space="preserve">Connector Header, PH Series, 2 Position, 2.00mm, Shrouded Through Hole, Press-Fit, 100V, 32-24 AWG, Solder, Gray</t>
  </si>
  <si>
    <t xml:space="preserve">J2, J3</t>
  </si>
  <si>
    <t xml:space="preserve">JST</t>
  </si>
  <si>
    <t xml:space="preserve">Arrow Electronics</t>
  </si>
  <si>
    <t xml:space="preserve">74479288147</t>
  </si>
  <si>
    <t xml:space="preserve">Fixed Ind 470NH 3.1A 34 Mohm SMD</t>
  </si>
  <si>
    <t xml:space="preserve">L1</t>
  </si>
  <si>
    <t xml:space="preserve">1008</t>
  </si>
  <si>
    <t xml:space="preserve">Wurth Elektronik</t>
  </si>
  <si>
    <t xml:space="preserve">732-9720-1-ND</t>
  </si>
  <si>
    <t xml:space="preserve">CMT-0904-85T</t>
  </si>
  <si>
    <t xml:space="preserve">LS1</t>
  </si>
  <si>
    <t xml:space="preserve">Same Sky</t>
  </si>
  <si>
    <t xml:space="preserve">102-CMT-0904-85T-ND</t>
  </si>
  <si>
    <t xml:space="preserve">INMP441 Module</t>
  </si>
  <si>
    <t xml:space="preserve">MIC1</t>
  </si>
  <si>
    <t xml:space="preserve">BC847B</t>
  </si>
  <si>
    <t xml:space="preserve">NPN Silicon AF Transistor, 45 V VCEO, 100 mA IC, SOT23, Reel, Green</t>
  </si>
  <si>
    <t xml:space="preserve">Q1</t>
  </si>
  <si>
    <t xml:space="preserve">Infineon</t>
  </si>
  <si>
    <t xml:space="preserve">AC0603FR-7W5K1L</t>
  </si>
  <si>
    <t xml:space="preserve">Fixed Resistor, Metal Glaze/Thick Film, 0.2W, 5100ohm, 75V, 1% +/-Tol, Surface Mount, 0603</t>
  </si>
  <si>
    <t xml:space="preserve">R1, R2</t>
  </si>
  <si>
    <t xml:space="preserve">5K1</t>
  </si>
  <si>
    <t xml:space="preserve">13-AC0603FR-7W5K1LCT-ND</t>
  </si>
  <si>
    <t xml:space="preserve">0402WGF2200TCE</t>
  </si>
  <si>
    <t xml:space="preserve">Res Thick Film 0402 220 Ohm 1% 0.063W(1/16W) ±100ppm/C Pad SMD</t>
  </si>
  <si>
    <t xml:space="preserve">R3</t>
  </si>
  <si>
    <t xml:space="preserve">220Ω</t>
  </si>
  <si>
    <t xml:space="preserve">Royal Ohm</t>
  </si>
  <si>
    <t xml:space="preserve">CRCW0402100KFKEDHP</t>
  </si>
  <si>
    <t xml:space="preserve">Res Thick Film 0402 100K Ohm 1% 0.2W(1/5W) ±100ppm/C Pad SMD Automotive T/R</t>
  </si>
  <si>
    <t xml:space="preserve">R7, R9, R18, R19</t>
  </si>
  <si>
    <t xml:space="preserve">100K</t>
  </si>
  <si>
    <t xml:space="preserve">Vishay</t>
  </si>
  <si>
    <t xml:space="preserve">541-100KYCT-ND</t>
  </si>
  <si>
    <t xml:space="preserve">AC0402FR-7W10KL</t>
  </si>
  <si>
    <t xml:space="preserve">Res Thick Film 0402 10K Ohm 1% 0.125W(1/8W) ±100ppm/C Pad SMD Automotive T/R</t>
  </si>
  <si>
    <t xml:space="preserve">R8, R10, R13, R14, R15, R16, R24</t>
  </si>
  <si>
    <t xml:space="preserve">10K</t>
  </si>
  <si>
    <t xml:space="preserve">13-AC0402FR-7W10KLDKR-ND</t>
  </si>
  <si>
    <t xml:space="preserve">ERJPA3F33R0V</t>
  </si>
  <si>
    <t xml:space="preserve">Res Thick Film 0603 33 Ohm 1% 0.25W(1/4W) ±100ppm/C Pad SMD Automotive T/R</t>
  </si>
  <si>
    <t xml:space="preserve">R17, R20, R21</t>
  </si>
  <si>
    <t xml:space="preserve">33Ω</t>
  </si>
  <si>
    <t xml:space="preserve">Panasonic</t>
  </si>
  <si>
    <t xml:space="preserve">P33.00BYDKR-ND</t>
  </si>
  <si>
    <t xml:space="preserve">AC0603FR-7W1KL</t>
  </si>
  <si>
    <t xml:space="preserve">Res Thick Film 0603 1K Ohm 1% 0.2W(1/5W) ±100ppm/C Pad SMD T/R Automotive AEC-Q200</t>
  </si>
  <si>
    <t xml:space="preserve">R22, R23</t>
  </si>
  <si>
    <t xml:space="preserve">1kΩ</t>
  </si>
  <si>
    <t xml:space="preserve">13-AC0603FR-7W1KLDKR-ND</t>
  </si>
  <si>
    <t xml:space="preserve">TS11-674-135-BK-160-RA-D</t>
  </si>
  <si>
    <t xml:space="preserve">S1</t>
  </si>
  <si>
    <t xml:space="preserve">2223-TS11-674-135-BK-160-RA-D-ND</t>
  </si>
  <si>
    <t xml:space="preserve">TS04-66-95-BK-100-SMT</t>
  </si>
  <si>
    <t xml:space="preserve">S2, S3, S4, S5</t>
  </si>
  <si>
    <t xml:space="preserve">2223-TS04-66-95-BK-100-SMT-ND</t>
  </si>
  <si>
    <t xml:space="preserve">SWS045-030R22TSK</t>
  </si>
  <si>
    <t xml:space="preserve">S6</t>
  </si>
  <si>
    <t xml:space="preserve">2073-SWS045-030R22TSK-ND</t>
  </si>
  <si>
    <t xml:space="preserve">ESP32-S3-WROOM-1U-N16R8</t>
  </si>
  <si>
    <t xml:space="preserve">U1</t>
  </si>
  <si>
    <t xml:space="preserve">Espressif Systems</t>
  </si>
  <si>
    <t xml:space="preserve">1965-ESP32-S3-WROOM-1U-N16R8DKR-ND</t>
  </si>
  <si>
    <t xml:space="preserve">MAX98357AETE+T</t>
  </si>
  <si>
    <t xml:space="preserve">Tiny, Low-Cost, PCM Class D Amplifier with Class AB Performance</t>
  </si>
  <si>
    <t xml:space="preserve">U2</t>
  </si>
  <si>
    <t xml:space="preserve">MAX98357AETE+TDKR-ND</t>
  </si>
  <si>
    <t xml:space="preserve">0.96 OLED</t>
  </si>
  <si>
    <t xml:space="preserve">0.96â€ 128 X 64 MONOCHROME GRAPHIC OLED DISPLAY MODULE - I2C</t>
  </si>
  <si>
    <t xml:space="preserve">U3</t>
  </si>
  <si>
    <t xml:space="preserve">MCP73833T-FCI/UN</t>
  </si>
  <si>
    <t xml:space="preserve">IC LI-ION/LI-POLY CTRLR 10MSOP</t>
  </si>
  <si>
    <t xml:space="preserve">U4</t>
  </si>
  <si>
    <t xml:space="preserve">MSOP</t>
  </si>
  <si>
    <t xml:space="preserve">Microchip</t>
  </si>
  <si>
    <t xml:space="preserve">MCP73833T-FCI/UNDKR-ND</t>
  </si>
  <si>
    <t xml:space="preserve">Notes:</t>
  </si>
  <si>
    <t xml:space="preserve">Any passive components which matches the footprint and value can be used.</t>
  </si>
  <si>
    <t xml:space="preserve">DNP/DNM - Do Not Populate/Do Not Mount</t>
  </si>
  <si>
    <t xml:space="preserve">Bill of Materials — Priced</t>
  </si>
  <si>
    <t xml:space="preserve">Flood Mesh · PCB Rev V1.0 · no-voice build (mic, amplifier and speaker removed)</t>
  </si>
  <si>
    <t xml:space="preserve">Inputs (edit the yellow cells)</t>
  </si>
  <si>
    <t xml:space="preserve">Summary</t>
  </si>
  <si>
    <t xml:space="preserve">Designed by:</t>
  </si>
  <si>
    <t xml:space="preserve">NSquare Bros</t>
  </si>
  <si>
    <t xml:space="preserve">Build quantity (boards)</t>
  </si>
  <si>
    <t xml:space="preserve">Line items</t>
  </si>
  <si>
    <t xml:space="preserve">V1.0 (22-09-2026), voice parts removed</t>
  </si>
  <si>
    <t xml:space="preserve">Exchange rate (INR per USD)</t>
  </si>
  <si>
    <t xml:space="preserve">Parts per board</t>
  </si>
  <si>
    <t xml:space="preserve">Prices gathered:</t>
  </si>
  <si>
    <t xml:space="preserve">27-09-2026 (from search-indexed distributor listings, not live cart prices; see Notes)</t>
  </si>
  <si>
    <t xml:space="preserve">Cost per board (INR)</t>
  </si>
  <si>
    <t xml:space="preserve">Cost per board (USD)</t>
  </si>
  <si>
    <t xml:space="preserve">Cost for build (INR)</t>
  </si>
  <si>
    <t xml:space="preserve">Blue = typed-in value · Black = formula · Yellow = input you can change. Prices exclude customs duty, GST, shipping and DigiKey reeling fees.</t>
  </si>
  <si>
    <t xml:space="preserve">Lines with no price yet</t>
  </si>
  <si>
    <t xml:space="preserve">#</t>
  </si>
  <si>
    <t xml:space="preserve">Manufacturer Part Number</t>
  </si>
  <si>
    <t xml:space="preserve">Supplier (designer's BoM)</t>
  </si>
  <si>
    <t xml:space="preserve">Qty / board</t>
  </si>
  <si>
    <t xml:space="preserve">Unit price (as quoted)</t>
  </si>
  <si>
    <t xml:space="preserve">Currency</t>
  </si>
  <si>
    <t xml:space="preserve">Price break used</t>
  </si>
  <si>
    <t xml:space="preserve">Unit price (USD)</t>
  </si>
  <si>
    <t xml:space="preserve">Unit price (INR)</t>
  </si>
  <si>
    <t xml:space="preserve">Ext. per board (INR)</t>
  </si>
  <si>
    <t xml:space="preserve">Ext. per board (USD)</t>
  </si>
  <si>
    <t xml:space="preserve">Order qty for build</t>
  </si>
  <si>
    <t xml:space="preserve">Ext. for build (INR)</t>
  </si>
  <si>
    <t xml:space="preserve">Price from</t>
  </si>
  <si>
    <t xml:space="preserve">Price confidence</t>
  </si>
  <si>
    <t xml:space="preserve">Source</t>
  </si>
  <si>
    <t xml:space="preserve">Change vs V1.0 BoM</t>
  </si>
  <si>
    <t xml:space="preserve">Notes</t>
  </si>
  <si>
    <t xml:space="preserve">1S LiPo, 3.7 V, 2000 mAh or more, JST-PH 2.0 mm lead (per schematic sheet 4)</t>
  </si>
  <si>
    <t xml:space="preserve">USD</t>
  </si>
  <si>
    <t xml:space="preserve">qty 1</t>
  </si>
  <si>
    <t xml:space="preserve">DigiKey (Adafruit 2011)</t>
  </si>
  <si>
    <t xml:space="preserve">HIGH</t>
  </si>
  <si>
    <t xml:space="preserve">open</t>
  </si>
  <si>
    <t xml:space="preserve">Priced as Adafruit 2011 (DigiKey 1528-1857-ND). Check the pack's JST-PH polarity against J3 before buying other brands (README concern 2).</t>
  </si>
  <si>
    <t xml:space="preserve">10V 10uF X5R ±10% 0603 MLCC</t>
  </si>
  <si>
    <t xml:space="preserve">C1, C4, C17, C24, C25</t>
  </si>
  <si>
    <t xml:space="preserve">MED</t>
  </si>
  <si>
    <t xml:space="preserve">6 → 5: C6 removed (amplifier decoupling)</t>
  </si>
  <si>
    <t xml:space="preserve">Same value and footprint as the next line: one MPN (this one, 10 V) can fill all 7 positions.</t>
  </si>
  <si>
    <t xml:space="preserve">10uF 6.3V X5R ±20% 0603 MLCC</t>
  </si>
  <si>
    <t xml:space="preserve">C19, C20</t>
  </si>
  <si>
    <t xml:space="preserve">3 → 2: C2 removed (mic decoupling)</t>
  </si>
  <si>
    <t xml:space="preserve">Backorder at DigiKey. Can be replaced by CL10A106KP8NNNC (designer's note allows any matching passive).</t>
  </si>
  <si>
    <t xml:space="preserve">25V 100nF X7R ±5% 0402 MLCC</t>
  </si>
  <si>
    <t xml:space="preserve">C5, C8, C11, C12, C13, C14, C15, C16, C18, C22, C23</t>
  </si>
  <si>
    <t xml:space="preserve">@10,000 (reel)</t>
  </si>
  <si>
    <t xml:space="preserve">12 → 11: C7 removed (amplifier decoupling)</t>
  </si>
  <si>
    <t xml:space="preserve">2.2uF 16V X7R 0603 MLCC</t>
  </si>
  <si>
    <t xml:space="preserve">'from' price</t>
  </si>
  <si>
    <t xml:space="preserve">LCSC</t>
  </si>
  <si>
    <t xml:space="preserve">TVS diode 5V 11.6V 1610</t>
  </si>
  <si>
    <t xml:space="preserve">qty 1 (cut tape)</t>
  </si>
  <si>
    <t xml:space="preserve">Diode 1000V 1A SOD-123FL (buzzer flyback)</t>
  </si>
  <si>
    <t xml:space="preserve">Orderable MPN is written SM4007PL-TP.</t>
  </si>
  <si>
    <t xml:space="preserve">LED red/green bicolour 0606 (charge status)</t>
  </si>
  <si>
    <t xml:space="preserve">Lite-On</t>
  </si>
  <si>
    <t xml:space="preserve">Designer's BoM says 'Diodes Inc.'; LTST-C195KGJRKT is a Lite-On part (DigiKey prefix 160- is Lite-On).</t>
  </si>
  <si>
    <t xml:space="preserve">Seeed Wio-SX1262 LoRa module</t>
  </si>
  <si>
    <t xml:space="preserve">RF comes out on the module's own IPEX (U.FL) connector; its ANT pad is not connected by default, which matches the schematic. Needs an 865-867 MHz antenna with U.FL (not in BoM).</t>
  </si>
  <si>
    <t xml:space="preserve">Li-ion fuel gauge, I²C, 8-TDFN</t>
  </si>
  <si>
    <t xml:space="preserve">3.3 V 2 A buck converter, 6-VSON</t>
  </si>
  <si>
    <t xml:space="preserve">USB-C receptacle (charging only)</t>
  </si>
  <si>
    <t xml:space="preserve">Backorder at DigiKey. Non-kit USB4730-GF-A is in stock; ask the designer whether the kit is needed.</t>
  </si>
  <si>
    <t xml:space="preserve">JST PH 2-pin 2.00 mm shrouded TH header (battery)</t>
  </si>
  <si>
    <t xml:space="preserve">J3</t>
  </si>
  <si>
    <t xml:space="preserve">qty 1 (top of range)</t>
  </si>
  <si>
    <t xml:space="preserve">TLC Electronics</t>
  </si>
  <si>
    <t xml:space="preserve">2 → 1: J2 removed (speaker connector)</t>
  </si>
  <si>
    <t xml:space="preserve">Fixed inductor 470 nH 3.1 A 34 mΩ, 1008 (buck)</t>
  </si>
  <si>
    <t xml:space="preserve">qty not stated</t>
  </si>
  <si>
    <t xml:space="preserve">unattributed</t>
  </si>
  <si>
    <t xml:space="preserve">LOW</t>
  </si>
  <si>
    <t xml:space="preserve">CHECK: the Würth datasheet lists 74479288147 as WE-PMCI 470 nH, 6.8 A, 22 mΩ (the BoM says 3.1 A, 34 mΩ), and DigiKey 732-9720-1-ND could not be matched to this MPN. Confirm the intended part with the designer.</t>
  </si>
  <si>
    <t xml:space="preserve">Magnetic buzzer (needs PWM tone)</t>
  </si>
  <si>
    <t xml:space="preserve">LCSC (C3811834)</t>
  </si>
  <si>
    <t xml:space="preserve">Kept: alarm tone. Not part of the voice path.</t>
  </si>
  <si>
    <t xml:space="preserve">NPN 45 V 100 mA SOT-23 (buzzer driver)</t>
  </si>
  <si>
    <t xml:space="preserve">DigiKey (BC847BE6327HTSA1)</t>
  </si>
  <si>
    <t xml:space="preserve">Infineon BC847BE6327HTSA1 is being discontinued (PCN PD_234_23: last order 31-12-2026). Any BC847B in SOT-23 (e.g. Nexperia, onsemi) is a drop-in.</t>
  </si>
  <si>
    <t xml:space="preserve">5.1 kΩ 1% 0603 (USB-C CC pull-downs)</t>
  </si>
  <si>
    <t xml:space="preserve">unattributed (said JLCPCB)</t>
  </si>
  <si>
    <t xml:space="preserve">Confirm the MPN; AC0603FR-075K1L is the common listing.</t>
  </si>
  <si>
    <t xml:space="preserve">220 Ω 1% 0402 (buzzer base)</t>
  </si>
  <si>
    <t xml:space="preserve">LCSC (C25091)</t>
  </si>
  <si>
    <t xml:space="preserve">No supplier in the designer's BoM.</t>
  </si>
  <si>
    <t xml:space="preserve">100 kΩ 1% 0402</t>
  </si>
  <si>
    <t xml:space="preserve">R18, R19</t>
  </si>
  <si>
    <t xml:space="preserve">Arrow</t>
  </si>
  <si>
    <t xml:space="preserve">4 → 2: R7 (SD_MODE) and R9 (GAIN_SLOT) removed</t>
  </si>
  <si>
    <t xml:space="preserve">10 kΩ 1% 0402</t>
  </si>
  <si>
    <t xml:space="preserve">TME</t>
  </si>
  <si>
    <t xml:space="preserve">33 Ω 1% 0603 (LoRa SPI series)</t>
  </si>
  <si>
    <t xml:space="preserve">@5,000 (reel)</t>
  </si>
  <si>
    <t xml:space="preserve">1 kΩ 1% 0603 (LED)</t>
  </si>
  <si>
    <t xml:space="preserve">stand-in</t>
  </si>
  <si>
    <t xml:space="preserve">stand-in: 5.1 kΩ line</t>
  </si>
  <si>
    <t xml:space="preserve">Tactile switch, right angle (side / SOS button)</t>
  </si>
  <si>
    <t xml:space="preserve">qty 1 (sibling part)</t>
  </si>
  <si>
    <t xml:space="preserve">DigiKey (sibling -43 part)</t>
  </si>
  <si>
    <t xml:space="preserve">Tactile switch, SMT (face buttons)</t>
  </si>
  <si>
    <t xml:space="preserve">Slide switch (power)</t>
  </si>
  <si>
    <t xml:space="preserve">No price found from any source. Enter the DigiKey price in the yellow cell.</t>
  </si>
  <si>
    <t xml:space="preserve">ESP32-S3 module, 16 MB flash, 8 MB PSRAM, U.FL antenna connector</t>
  </si>
  <si>
    <t xml:space="preserve">The 1U has no PCB antenna: needs a 2.4 GHz U.FL antenna for Bluetooth provisioning (not in BoM; architecture.md §9 item 7).</t>
  </si>
  <si>
    <t xml:space="preserve">0.96" 128×64 monochrome OLED module, I²C, 4-pin</t>
  </si>
  <si>
    <t xml:space="preserve">INR</t>
  </si>
  <si>
    <t xml:space="preserve">Robokits India (RKI-3206)</t>
  </si>
  <si>
    <t xml:space="preserve">No supplier in the designer's BoM. Priced at an Indian retailer; confirm the pin order (VCC/GND/SCL/SDA vs GND/VCC/SCL/SDA) matches U3.</t>
  </si>
  <si>
    <t xml:space="preserve">Li-ion/Li-poly charge controller, 10-MSOP</t>
  </si>
  <si>
    <t xml:space="preserve">Total</t>
  </si>
  <si>
    <t xml:space="preserve">1. Voice removed: MIC1, U2, C2, C6, C7, R7, R9, FB1, FB2, C9, C10 and J2 (12 parts) are gone, so the board drops from 70 parts to 58. Details and freed GPIOs are on the 'Removed (Voice)' sheet. The buzzer stays.</t>
  </si>
  <si>
    <t xml:space="preserve">2. How the prices were gathered: this environment cannot open DigiKey, Future Electronics or Arrow pages directly. Prices come from search-engine listings of those sites (and others where they had nothing) around 25-27 Sep 2026. They are not live cart prices. Check them before ordering; every price cell is editable and the totals update.</t>
  </si>
  <si>
    <t xml:space="preserve">3. Price confidence: HIGH = the price was attributed to that vendor's own page for this exact part. MED = attributed to the vendor but conflicting or not tied to the exact page. LOW = unattributed, or a stand-in from a sibling part. Hover over a price cell to see the alternatives found.</t>
  </si>
  <si>
    <t xml:space="preserve">4. Price basis is mixed (see 'Price break used'): most lines use the qty-1 price. CC0402JRX7R8BB104 and ERJPA3F33R0V only had Future reel prices (@5,000-10,000), and three lines use LCSC 'from' prices; these may be understated at small quantities. They are a small share of the total either way.</t>
  </si>
  <si>
    <t xml:space="preserve">5. Not included: customs duty, GST, shipping, and DigiKey's Digi-Reel fee. Supplier PNs ending in DKR-ND are Digi-Reel; order the cut-tape (CT-ND) version for small quantities to avoid the reeling fee.</t>
  </si>
  <si>
    <t xml:space="preserve">6. Not in the designer's BoM but needed for a working unit: 2.4 GHz U.FL antenna for U1; 865-867 MHz U.FL antenna for IC1; PCB fabrication and assembly; enclosure. Also not yet on the board: the pending changes in docs/architecture.md §9 (NTC on THERM, reverse-polarity protection, MCP23017 keypad, etc.).</t>
  </si>
  <si>
    <t xml:space="preserve">7. Designer's BoM corrections: D4 is Lite-On, not Diodes Inc.; SM4007PLTP is ordered as SM4007PL-TP; the removed C9/C10 MPN (C0603C471J5RACAUTO) is KEMET, not Yageo. See the L1 and BC847B rows for parts to confirm.</t>
  </si>
  <si>
    <t xml:space="preserve">Parts removed for the no-voice build</t>
  </si>
  <si>
    <t xml:space="preserve">All of these sit in the MIC and SPEAKER blocks of schematic sheet 1 (SoC.SchDoc). Nothing else on the board depends on them; the buzzer (LS1, Q1, R3, D2) stays.</t>
  </si>
  <si>
    <t xml:space="preserve">Value / part</t>
  </si>
  <si>
    <t xml:space="preserve">Qty removed</t>
  </si>
  <si>
    <t xml:space="preserve">Schematic block</t>
  </si>
  <si>
    <t xml:space="preserve">What it did</t>
  </si>
  <si>
    <t xml:space="preserve">Effect on V1.0 BoM line</t>
  </si>
  <si>
    <t xml:space="preserve">I²S MEMS microphone module</t>
  </si>
  <si>
    <t xml:space="preserve">MIC</t>
  </si>
  <si>
    <t xml:space="preserve">Voice capture</t>
  </si>
  <si>
    <t xml:space="preserve">Line deleted</t>
  </si>
  <si>
    <t xml:space="preserve">C2</t>
  </si>
  <si>
    <t xml:space="preserve">10uF 0603</t>
  </si>
  <si>
    <t xml:space="preserve">Mic VDD decoupling</t>
  </si>
  <si>
    <t xml:space="preserve">Line qty 3 → 2</t>
  </si>
  <si>
    <t xml:space="preserve">I²S class-D amplifier</t>
  </si>
  <si>
    <t xml:space="preserve">SPEAKER</t>
  </si>
  <si>
    <t xml:space="preserve">Speaker drive</t>
  </si>
  <si>
    <t xml:space="preserve">C6</t>
  </si>
  <si>
    <t xml:space="preserve">10µF 0603</t>
  </si>
  <si>
    <t xml:space="preserve">Amplifier VDD bulk decoupling</t>
  </si>
  <si>
    <t xml:space="preserve">Line qty 6 → 5</t>
  </si>
  <si>
    <t xml:space="preserve">C7</t>
  </si>
  <si>
    <t xml:space="preserve">100nF 0402</t>
  </si>
  <si>
    <t xml:space="preserve">Amplifier VDD decoupling</t>
  </si>
  <si>
    <t xml:space="preserve">Line qty 12 → 11</t>
  </si>
  <si>
    <t xml:space="preserve">R7</t>
  </si>
  <si>
    <t xml:space="preserve">100K 0402</t>
  </si>
  <si>
    <t xml:space="preserve">SD_MODE (SPK_SD) resistor to 3V3</t>
  </si>
  <si>
    <t xml:space="preserve">Line qty 4 → 2 (with R9)</t>
  </si>
  <si>
    <t xml:space="preserve">R9</t>
  </si>
  <si>
    <t xml:space="preserve">GAIN_SLOT to GND (gain select)</t>
  </si>
  <si>
    <t xml:space="preserve">Line qty 4 → 2 (with R7)</t>
  </si>
  <si>
    <t xml:space="preserve">Ferrite bead 30 Ω 0805</t>
  </si>
  <si>
    <t xml:space="preserve">Speaker output EMI filter</t>
  </si>
  <si>
    <t xml:space="preserve">470pF 0603</t>
  </si>
  <si>
    <t xml:space="preserve">Line deleted (BoM lists Yageo; this MPN is KEMET)</t>
  </si>
  <si>
    <t xml:space="preserve">J2</t>
  </si>
  <si>
    <t xml:space="preserve">JST PH 2-pin header</t>
  </si>
  <si>
    <t xml:space="preserve">Speaker connector</t>
  </si>
  <si>
    <t xml:space="preserve">Line qty 2 → 1</t>
  </si>
  <si>
    <t xml:space="preserve">Total parts removed</t>
  </si>
  <si>
    <t xml:space="preserve">Check: V1.0 total − removed</t>
  </si>
  <si>
    <t xml:space="preserve">DNP footprints in the same blocks (not in the BoM, remove from the PCB layout): R6 (GAIN_SLOT pull-up), TP3 (SPK_SD test point).</t>
  </si>
  <si>
    <t xml:space="preserve">GPIOs freed on U1: IO4, IO5, IO6 (speaker I²S), IO15, IO16, IO17 (mic I²S), IO18 (SPK_SD). IO15/IO16 are the S3's XTAL_32K pins, so a 32.768 kHz crystal (architecture.md §9 item 9) can now go in without moving any other signal.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</si>
</sst>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[$-4009]dddd&quot;, &quot;d\ mmmm&quot;, &quot;yyyy;@"/>
    <numFmt numFmtId="167" formatCode="General"/>
    <numFmt numFmtId="168" formatCode="0"/>
    <numFmt numFmtId="169" formatCode="0.00"/>
    <numFmt numFmtId="170" formatCode="\₹#,##0.00"/>
    <numFmt numFmtId="171" formatCode="\$#,##0.00"/>
    <numFmt numFmtId="172" formatCode="\₹#,##0"/>
    <numFmt numFmtId="173" formatCode="#,##0.0000"/>
    <numFmt numFmtId="174" formatCode="\$#,##0.000;&quot;($&quot;#,##0.000\);\-"/>
    <numFmt numFmtId="175" formatCode="\₹#,##0.00;&quot;(₹&quot;#,##0.0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48"/>
      <color rgb="FFDC2626"/>
      <name val="Arial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DC2626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24"/>
      <color rgb="FFDC2626"/>
      <name val="Arial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DC2626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0"/>
      <color rgb="FF4B556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u val="single"/>
      <sz val="11"/>
      <color rgb="FF1D4ED8"/>
      <name val="Calibri"/>
      <family val="0"/>
      <charset val="1"/>
    </font>
    <font>
      <b val="true"/>
      <sz val="12"/>
      <color rgb="FFDC2626"/>
      <name val="Calibri"/>
      <family val="0"/>
      <charset val="1"/>
    </font>
    <font>
      <sz val="10"/>
      <name val="Arial"/>
      <family val="2"/>
    </font>
    <font>
      <b val="true"/>
      <sz val="18"/>
      <color rgb="FFDC2626"/>
      <name val="Arial"/>
      <family val="0"/>
      <charset val="1"/>
    </font>
    <font>
      <i val="true"/>
      <sz val="11"/>
      <name val="Calibri"/>
      <family val="0"/>
      <charset val="1"/>
    </font>
    <font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C2626"/>
        <bgColor rgb="FF993300"/>
      </patternFill>
    </fill>
    <fill>
      <patternFill patternType="solid">
        <fgColor theme="8" tint="0.5999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DECEC"/>
        <bgColor rgb="FFFFFFFF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 diagonalUp="false" diagonalDown="false">
      <left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4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3" fontId="20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15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15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20" fillId="4" borderId="2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7">
    <dxf>
      <fill>
        <patternFill patternType="solid">
          <fgColor rgb="FFDC26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FDECEC"/>
          <bgColor rgb="FF000000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CEC"/>
      <rgbColor rgb="FFCCFFFF"/>
      <rgbColor rgb="FF660066"/>
      <rgbColor rgb="FFFF8080"/>
      <rgbColor rgb="FF1D4ED8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digikey.com/en/products/detail/adafruit-industries-llc/2011/6612469" TargetMode="External"/><Relationship Id="rId3" Type="http://schemas.openxmlformats.org/officeDocument/2006/relationships/hyperlink" Target="https://www.digikey.com/en/products/detail/samsung-electro-mechanics/CL10A106KP8NNNC/3886850" TargetMode="External"/><Relationship Id="rId4" Type="http://schemas.openxmlformats.org/officeDocument/2006/relationships/hyperlink" Target="https://www.digikey.com/en/products/detail/murata-electronics/GRM188R60J106ME47D/965910" TargetMode="External"/><Relationship Id="rId5" Type="http://schemas.openxmlformats.org/officeDocument/2006/relationships/hyperlink" Target="https://www.futureelectronics.com/en/p/passives--capacitors--ceramic-capacitors--multilayer-ceramic-capacitors/cc0402jrx7r8bb104-yageo-8118593" TargetMode="External"/><Relationship Id="rId6" Type="http://schemas.openxmlformats.org/officeDocument/2006/relationships/hyperlink" Target="https://www.lcsc.com/product-detail/multilayer-ceramic-capacitors-mlcc-smd-smt_murata-electronics-grm188z71c225ke43j_C21794833.html" TargetMode="External"/><Relationship Id="rId7" Type="http://schemas.openxmlformats.org/officeDocument/2006/relationships/hyperlink" Target="https://www.digikey.com/en/products/detail/stmicroelectronics/ESDA7P60-1U1M/5768402" TargetMode="External"/><Relationship Id="rId8" Type="http://schemas.openxmlformats.org/officeDocument/2006/relationships/hyperlink" Target="https://www.digikey.com/en/products/detail/micro-commercial-co/SM4007PL-TP/1793250" TargetMode="External"/><Relationship Id="rId9" Type="http://schemas.openxmlformats.org/officeDocument/2006/relationships/hyperlink" Target="https://www.digikey.com/en/products/detail/liteon/LTST-C195KGJRKT/386847" TargetMode="External"/><Relationship Id="rId10" Type="http://schemas.openxmlformats.org/officeDocument/2006/relationships/hyperlink" Target="https://www.digikey.com/en/products/detail/seeed-technology-co-ltd/114993390/25835823" TargetMode="External"/><Relationship Id="rId11" Type="http://schemas.openxmlformats.org/officeDocument/2006/relationships/hyperlink" Target="https://www.digikey.com/en/products/detail/maxim-integrated/MAX17048G-T10/9564051" TargetMode="External"/><Relationship Id="rId12" Type="http://schemas.openxmlformats.org/officeDocument/2006/relationships/hyperlink" Target="https://www.digikey.com/en/products/detail/texas-instruments/TPS6282533DMQR/15212775" TargetMode="External"/><Relationship Id="rId13" Type="http://schemas.openxmlformats.org/officeDocument/2006/relationships/hyperlink" Target="https://www.digikey.com/en/products/detail/gct/USB4730-GF-A-KIT/21838842" TargetMode="External"/><Relationship Id="rId14" Type="http://schemas.openxmlformats.org/officeDocument/2006/relationships/hyperlink" Target="https://tlcelectronics.com/tlc-1712.html" TargetMode="External"/><Relationship Id="rId15" Type="http://schemas.openxmlformats.org/officeDocument/2006/relationships/hyperlink" Target="https://www.we-online.com/components/products/datasheet/74479288147.pdf" TargetMode="External"/><Relationship Id="rId16" Type="http://schemas.openxmlformats.org/officeDocument/2006/relationships/hyperlink" Target="https://www.lcsc.com/product-detail/C3811834.html" TargetMode="External"/><Relationship Id="rId17" Type="http://schemas.openxmlformats.org/officeDocument/2006/relationships/hyperlink" Target="https://www.digikey.ch/fr/products/detail/infineon-technologies/BC847BE6327HTSA1/1557863" TargetMode="External"/><Relationship Id="rId18" Type="http://schemas.openxmlformats.org/officeDocument/2006/relationships/hyperlink" Target="https://www.lcsc.com/product-detail/Chip-Resistor-Surface-Mount-UniOhm_Uniroyal-Elec-0402WGF2200TCE_C25091.html" TargetMode="External"/><Relationship Id="rId19" Type="http://schemas.openxmlformats.org/officeDocument/2006/relationships/hyperlink" Target="https://www.arrow.com/en/products/crcw0402100kfkedhp/vishay" TargetMode="External"/><Relationship Id="rId20" Type="http://schemas.openxmlformats.org/officeDocument/2006/relationships/hyperlink" Target="https://www.tme.eu/en/details/ac0402fr-7w10kl/smd-resistors/yageo/" TargetMode="External"/><Relationship Id="rId21" Type="http://schemas.openxmlformats.org/officeDocument/2006/relationships/hyperlink" Target="https://www.futureelectronics.com/p/passives--resistors--fixed-resistors/erj-pa3f33r0v-panasonic-7114118" TargetMode="External"/><Relationship Id="rId22" Type="http://schemas.openxmlformats.org/officeDocument/2006/relationships/hyperlink" Target="https://www.digikey.com/en/products/detail/same-sky-formerly-cui-devices/TS04-66-95-BK-100-SMT/15634366" TargetMode="External"/><Relationship Id="rId23" Type="http://schemas.openxmlformats.org/officeDocument/2006/relationships/hyperlink" Target="https://www.digikey.com/en/products/detail/espressif-systems/ESP32-S3-WROOM-1U-N16R8/16162641" TargetMode="External"/><Relationship Id="rId24" Type="http://schemas.openxmlformats.org/officeDocument/2006/relationships/hyperlink" Target="https://robokits.co.in/development-board/sensors-compatible-with-arduino/128x64-0.96-inch-oled-display-module-i2c-interface-arduino-compatible" TargetMode="External"/><Relationship Id="rId25" Type="http://schemas.openxmlformats.org/officeDocument/2006/relationships/hyperlink" Target="https://www.digikey.com/en/products/detail/microchip-technology/MCP73833T-FCI-UN/5818703" TargetMode="External"/><Relationship Id="rId26" Type="http://schemas.openxmlformats.org/officeDocument/2006/relationships/drawing" Target="../drawings/drawing1.xml"/><Relationship Id="rId27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5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52" activeCellId="0" sqref="B52"/>
    </sheetView>
  </sheetViews>
  <sheetFormatPr defaultColWidth="8.5390625" defaultRowHeight="14.25" zeroHeight="false" outlineLevelRow="0" outlineLevelCol="0"/>
  <cols>
    <col collapsed="false" customWidth="true" hidden="false" outlineLevel="0" max="2" min="2" style="1" width="32.22"/>
    <col collapsed="false" customWidth="true" hidden="false" outlineLevel="0" max="3" min="3" style="0" width="44"/>
    <col collapsed="false" customWidth="true" hidden="false" outlineLevel="0" max="4" min="4" style="0" width="27.78"/>
    <col collapsed="false" customWidth="true" hidden="false" outlineLevel="0" max="5" min="5" style="0" width="16.78"/>
    <col collapsed="false" customWidth="true" hidden="false" outlineLevel="0" max="6" min="6" style="1" width="21.56"/>
    <col collapsed="false" customWidth="true" hidden="false" outlineLevel="0" max="7" min="7" style="0" width="17.56"/>
    <col collapsed="false" customWidth="true" hidden="false" outlineLevel="0" max="8" min="8" style="0" width="21.22"/>
    <col collapsed="false" customWidth="true" hidden="false" outlineLevel="0" max="9" min="9" style="0" width="24.33"/>
    <col collapsed="false" customWidth="true" hidden="false" outlineLevel="0" max="10" min="10" style="2" width="16.89"/>
  </cols>
  <sheetData>
    <row r="1" customFormat="false" ht="15" hidden="false" customHeight="true" outlineLevel="0" collapsed="false"/>
    <row r="2" customFormat="false" ht="60" hidden="false" customHeight="true" outlineLevel="0" collapsed="false">
      <c r="B2" s="3" t="s">
        <v>0</v>
      </c>
      <c r="C2" s="4"/>
      <c r="D2" s="5" t="s">
        <v>1</v>
      </c>
      <c r="E2" s="5"/>
      <c r="F2" s="5"/>
      <c r="G2" s="5"/>
      <c r="H2" s="6" t="s">
        <v>2</v>
      </c>
      <c r="I2" s="7"/>
      <c r="J2" s="8"/>
    </row>
    <row r="3" customFormat="false" ht="14.25" hidden="false" customHeight="true" outlineLevel="0" collapsed="false">
      <c r="B3" s="9"/>
      <c r="C3" s="10"/>
      <c r="D3" s="5"/>
      <c r="E3" s="5"/>
      <c r="F3" s="5"/>
      <c r="G3" s="5"/>
      <c r="H3" s="11"/>
      <c r="I3" s="11"/>
      <c r="J3" s="11"/>
    </row>
    <row r="4" customFormat="false" ht="15" hidden="false" customHeight="true" outlineLevel="0" collapsed="false">
      <c r="B4" s="12" t="s">
        <v>3</v>
      </c>
      <c r="C4" s="13" t="s">
        <v>4</v>
      </c>
      <c r="D4" s="5"/>
      <c r="E4" s="5"/>
      <c r="F4" s="5"/>
      <c r="G4" s="5"/>
      <c r="H4" s="11"/>
      <c r="I4" s="11"/>
      <c r="J4" s="11"/>
    </row>
    <row r="5" customFormat="false" ht="15" hidden="false" customHeight="true" outlineLevel="0" collapsed="false">
      <c r="B5" s="12" t="s">
        <v>5</v>
      </c>
      <c r="C5" s="13" t="s">
        <v>6</v>
      </c>
      <c r="D5" s="5"/>
      <c r="E5" s="5"/>
      <c r="F5" s="5"/>
      <c r="G5" s="5"/>
      <c r="H5" s="11"/>
      <c r="I5" s="11"/>
      <c r="J5" s="11"/>
    </row>
    <row r="6" customFormat="false" ht="15" hidden="false" customHeight="true" outlineLevel="0" collapsed="false">
      <c r="B6" s="12" t="s">
        <v>7</v>
      </c>
      <c r="C6" s="13" t="s">
        <v>8</v>
      </c>
      <c r="D6" s="5"/>
      <c r="E6" s="5"/>
      <c r="F6" s="5"/>
      <c r="G6" s="5"/>
      <c r="H6" s="11"/>
      <c r="I6" s="11"/>
      <c r="J6" s="11"/>
    </row>
    <row r="7" customFormat="false" ht="15" hidden="false" customHeight="true" outlineLevel="0" collapsed="false">
      <c r="B7" s="12" t="s">
        <v>9</v>
      </c>
      <c r="C7" s="14" t="s">
        <v>10</v>
      </c>
      <c r="D7" s="5"/>
      <c r="E7" s="5"/>
      <c r="F7" s="5"/>
      <c r="G7" s="5"/>
      <c r="H7" s="11"/>
      <c r="I7" s="11"/>
      <c r="J7" s="11"/>
    </row>
    <row r="8" customFormat="false" ht="15" hidden="false" customHeight="true" outlineLevel="0" collapsed="false">
      <c r="B8" s="12" t="s">
        <v>11</v>
      </c>
      <c r="C8" s="13" t="s">
        <v>1</v>
      </c>
      <c r="D8" s="5"/>
      <c r="E8" s="5"/>
      <c r="F8" s="5"/>
      <c r="G8" s="5"/>
      <c r="H8" s="11"/>
      <c r="I8" s="11"/>
      <c r="J8" s="11"/>
    </row>
    <row r="9" customFormat="false" ht="15" hidden="false" customHeight="true" outlineLevel="0" collapsed="false">
      <c r="B9" s="12"/>
      <c r="C9" s="13"/>
      <c r="D9" s="5"/>
      <c r="E9" s="5"/>
      <c r="F9" s="5"/>
      <c r="G9" s="5"/>
      <c r="H9" s="11"/>
      <c r="I9" s="11"/>
      <c r="J9" s="11"/>
    </row>
    <row r="10" s="15" customFormat="true" ht="17.25" hidden="false" customHeight="true" outlineLevel="0" collapsed="false">
      <c r="B10" s="16" t="s">
        <v>12</v>
      </c>
      <c r="C10" s="17" t="s">
        <v>13</v>
      </c>
      <c r="D10" s="18" t="s">
        <v>14</v>
      </c>
      <c r="E10" s="18" t="s">
        <v>15</v>
      </c>
      <c r="F10" s="19" t="s">
        <v>16</v>
      </c>
      <c r="G10" s="18" t="s">
        <v>17</v>
      </c>
      <c r="H10" s="18" t="s">
        <v>18</v>
      </c>
      <c r="I10" s="18" t="s">
        <v>19</v>
      </c>
      <c r="J10" s="20" t="s">
        <v>20</v>
      </c>
    </row>
    <row r="11" customFormat="false" ht="21" hidden="true" customHeight="true" outlineLevel="0" collapsed="false">
      <c r="B11" s="21" t="s">
        <v>21</v>
      </c>
      <c r="C11" s="22" t="s">
        <v>13</v>
      </c>
      <c r="D11" s="23" t="s">
        <v>14</v>
      </c>
      <c r="E11" s="23" t="s">
        <v>15</v>
      </c>
      <c r="F11" s="24" t="s">
        <v>22</v>
      </c>
      <c r="G11" s="25" t="s">
        <v>23</v>
      </c>
      <c r="H11" s="25" t="s">
        <v>24</v>
      </c>
      <c r="I11" s="25" t="s">
        <v>25</v>
      </c>
      <c r="J11" s="26" t="s">
        <v>20</v>
      </c>
    </row>
    <row r="12" customFormat="false" ht="75" hidden="false" customHeight="true" outlineLevel="0" collapsed="false">
      <c r="B12" s="27" t="s">
        <v>26</v>
      </c>
      <c r="C12" s="28"/>
      <c r="D12" s="29" t="s">
        <v>27</v>
      </c>
      <c r="E12" s="29"/>
      <c r="F12" s="30"/>
      <c r="G12" s="29"/>
      <c r="H12" s="29"/>
      <c r="I12" s="29"/>
      <c r="J12" s="31" t="n">
        <v>1</v>
      </c>
    </row>
    <row r="13" customFormat="false" ht="75" hidden="false" customHeight="true" outlineLevel="0" collapsed="false">
      <c r="B13" s="32" t="s">
        <v>28</v>
      </c>
      <c r="C13" s="33" t="s">
        <v>29</v>
      </c>
      <c r="D13" s="34" t="s">
        <v>30</v>
      </c>
      <c r="E13" s="34" t="s">
        <v>31</v>
      </c>
      <c r="F13" s="35" t="s">
        <v>32</v>
      </c>
      <c r="G13" s="34" t="s">
        <v>33</v>
      </c>
      <c r="H13" s="34" t="s">
        <v>34</v>
      </c>
      <c r="I13" s="34" t="s">
        <v>28</v>
      </c>
      <c r="J13" s="36" t="n">
        <v>6</v>
      </c>
    </row>
    <row r="14" customFormat="false" ht="75" hidden="false" customHeight="true" outlineLevel="0" collapsed="false">
      <c r="B14" s="27" t="s">
        <v>35</v>
      </c>
      <c r="C14" s="28" t="s">
        <v>36</v>
      </c>
      <c r="D14" s="29" t="s">
        <v>37</v>
      </c>
      <c r="E14" s="29" t="s">
        <v>38</v>
      </c>
      <c r="F14" s="30" t="s">
        <v>32</v>
      </c>
      <c r="G14" s="29" t="s">
        <v>39</v>
      </c>
      <c r="H14" s="29" t="s">
        <v>40</v>
      </c>
      <c r="I14" s="29" t="s">
        <v>41</v>
      </c>
      <c r="J14" s="31" t="n">
        <v>3</v>
      </c>
    </row>
    <row r="15" customFormat="false" ht="75" hidden="false" customHeight="true" outlineLevel="0" collapsed="false">
      <c r="B15" s="32" t="s">
        <v>42</v>
      </c>
      <c r="C15" s="33" t="s">
        <v>43</v>
      </c>
      <c r="D15" s="34" t="s">
        <v>44</v>
      </c>
      <c r="E15" s="34" t="s">
        <v>45</v>
      </c>
      <c r="F15" s="35" t="s">
        <v>46</v>
      </c>
      <c r="G15" s="34" t="s">
        <v>47</v>
      </c>
      <c r="H15" s="34" t="s">
        <v>40</v>
      </c>
      <c r="I15" s="34" t="s">
        <v>48</v>
      </c>
      <c r="J15" s="36" t="n">
        <v>12</v>
      </c>
    </row>
    <row r="16" customFormat="false" ht="75" hidden="false" customHeight="true" outlineLevel="0" collapsed="false">
      <c r="B16" s="27" t="s">
        <v>49</v>
      </c>
      <c r="C16" s="28" t="s">
        <v>50</v>
      </c>
      <c r="D16" s="29" t="s">
        <v>51</v>
      </c>
      <c r="E16" s="29" t="s">
        <v>52</v>
      </c>
      <c r="F16" s="30" t="s">
        <v>32</v>
      </c>
      <c r="G16" s="29" t="s">
        <v>47</v>
      </c>
      <c r="H16" s="29" t="s">
        <v>40</v>
      </c>
      <c r="I16" s="29" t="s">
        <v>53</v>
      </c>
      <c r="J16" s="31" t="n">
        <v>2</v>
      </c>
    </row>
    <row r="17" customFormat="false" ht="75" hidden="false" customHeight="true" outlineLevel="0" collapsed="false">
      <c r="B17" s="32" t="s">
        <v>54</v>
      </c>
      <c r="C17" s="33" t="s">
        <v>55</v>
      </c>
      <c r="D17" s="34" t="s">
        <v>56</v>
      </c>
      <c r="E17" s="34" t="s">
        <v>57</v>
      </c>
      <c r="F17" s="35" t="s">
        <v>32</v>
      </c>
      <c r="G17" s="34" t="s">
        <v>39</v>
      </c>
      <c r="H17" s="34" t="s">
        <v>40</v>
      </c>
      <c r="I17" s="34" t="s">
        <v>58</v>
      </c>
      <c r="J17" s="36" t="n">
        <v>1</v>
      </c>
    </row>
    <row r="18" customFormat="false" ht="75" hidden="false" customHeight="true" outlineLevel="0" collapsed="false">
      <c r="B18" s="27" t="s">
        <v>59</v>
      </c>
      <c r="C18" s="28" t="s">
        <v>60</v>
      </c>
      <c r="D18" s="29" t="s">
        <v>61</v>
      </c>
      <c r="E18" s="29"/>
      <c r="F18" s="30"/>
      <c r="G18" s="29" t="s">
        <v>62</v>
      </c>
      <c r="H18" s="29" t="s">
        <v>40</v>
      </c>
      <c r="I18" s="29" t="s">
        <v>63</v>
      </c>
      <c r="J18" s="31" t="n">
        <v>2</v>
      </c>
    </row>
    <row r="19" customFormat="false" ht="75" hidden="false" customHeight="true" outlineLevel="0" collapsed="false">
      <c r="B19" s="32" t="s">
        <v>64</v>
      </c>
      <c r="C19" s="33" t="s">
        <v>65</v>
      </c>
      <c r="D19" s="34" t="s">
        <v>66</v>
      </c>
      <c r="E19" s="34"/>
      <c r="F19" s="35"/>
      <c r="G19" s="34" t="s">
        <v>67</v>
      </c>
      <c r="H19" s="34" t="s">
        <v>40</v>
      </c>
      <c r="I19" s="34" t="s">
        <v>68</v>
      </c>
      <c r="J19" s="36" t="n">
        <v>1</v>
      </c>
    </row>
    <row r="20" customFormat="false" ht="75" hidden="false" customHeight="true" outlineLevel="0" collapsed="false">
      <c r="B20" s="27" t="s">
        <v>69</v>
      </c>
      <c r="C20" s="28"/>
      <c r="D20" s="29" t="s">
        <v>70</v>
      </c>
      <c r="E20" s="29"/>
      <c r="F20" s="30"/>
      <c r="G20" s="29" t="s">
        <v>71</v>
      </c>
      <c r="H20" s="29" t="s">
        <v>40</v>
      </c>
      <c r="I20" s="29" t="s">
        <v>72</v>
      </c>
      <c r="J20" s="31" t="n">
        <v>1</v>
      </c>
    </row>
    <row r="21" customFormat="false" ht="75" hidden="false" customHeight="true" outlineLevel="0" collapsed="false">
      <c r="B21" s="32" t="s">
        <v>73</v>
      </c>
      <c r="C21" s="33" t="s">
        <v>74</v>
      </c>
      <c r="D21" s="34" t="s">
        <v>75</v>
      </c>
      <c r="E21" s="34"/>
      <c r="F21" s="35" t="s">
        <v>76</v>
      </c>
      <c r="G21" s="34" t="s">
        <v>77</v>
      </c>
      <c r="H21" s="34" t="s">
        <v>40</v>
      </c>
      <c r="I21" s="34" t="s">
        <v>78</v>
      </c>
      <c r="J21" s="36" t="n">
        <v>2</v>
      </c>
    </row>
    <row r="22" customFormat="false" ht="75" hidden="false" customHeight="true" outlineLevel="0" collapsed="false">
      <c r="B22" s="27" t="s">
        <v>79</v>
      </c>
      <c r="C22" s="28" t="s">
        <v>80</v>
      </c>
      <c r="D22" s="29" t="s">
        <v>81</v>
      </c>
      <c r="E22" s="29"/>
      <c r="F22" s="30"/>
      <c r="G22" s="29" t="s">
        <v>82</v>
      </c>
      <c r="H22" s="29" t="s">
        <v>40</v>
      </c>
      <c r="I22" s="29" t="s">
        <v>83</v>
      </c>
      <c r="J22" s="31" t="n">
        <v>1</v>
      </c>
    </row>
    <row r="23" customFormat="false" ht="75" hidden="false" customHeight="true" outlineLevel="0" collapsed="false">
      <c r="B23" s="32" t="s">
        <v>84</v>
      </c>
      <c r="C23" s="33" t="s">
        <v>80</v>
      </c>
      <c r="D23" s="34" t="s">
        <v>85</v>
      </c>
      <c r="E23" s="34"/>
      <c r="F23" s="35"/>
      <c r="G23" s="34" t="s">
        <v>86</v>
      </c>
      <c r="H23" s="34" t="s">
        <v>40</v>
      </c>
      <c r="I23" s="34" t="s">
        <v>87</v>
      </c>
      <c r="J23" s="36" t="n">
        <v>1</v>
      </c>
    </row>
    <row r="24" customFormat="false" ht="75" hidden="false" customHeight="true" outlineLevel="0" collapsed="false">
      <c r="B24" s="27" t="s">
        <v>88</v>
      </c>
      <c r="C24" s="28" t="s">
        <v>80</v>
      </c>
      <c r="D24" s="29" t="s">
        <v>89</v>
      </c>
      <c r="E24" s="29"/>
      <c r="F24" s="30"/>
      <c r="G24" s="29" t="s">
        <v>90</v>
      </c>
      <c r="H24" s="29" t="s">
        <v>40</v>
      </c>
      <c r="I24" s="29" t="s">
        <v>91</v>
      </c>
      <c r="J24" s="31" t="n">
        <v>1</v>
      </c>
    </row>
    <row r="25" customFormat="false" ht="75" hidden="false" customHeight="true" outlineLevel="0" collapsed="false">
      <c r="B25" s="32" t="s">
        <v>92</v>
      </c>
      <c r="C25" s="33" t="s">
        <v>93</v>
      </c>
      <c r="D25" s="34" t="s">
        <v>94</v>
      </c>
      <c r="E25" s="34"/>
      <c r="F25" s="35"/>
      <c r="G25" s="34" t="s">
        <v>95</v>
      </c>
      <c r="H25" s="34" t="s">
        <v>40</v>
      </c>
      <c r="I25" s="34" t="s">
        <v>96</v>
      </c>
      <c r="J25" s="36" t="n">
        <v>1</v>
      </c>
    </row>
    <row r="26" customFormat="false" ht="75" hidden="false" customHeight="true" outlineLevel="0" collapsed="false">
      <c r="B26" s="27" t="s">
        <v>97</v>
      </c>
      <c r="C26" s="28" t="s">
        <v>98</v>
      </c>
      <c r="D26" s="29" t="s">
        <v>99</v>
      </c>
      <c r="E26" s="29"/>
      <c r="F26" s="30"/>
      <c r="G26" s="29" t="s">
        <v>100</v>
      </c>
      <c r="H26" s="29" t="s">
        <v>101</v>
      </c>
      <c r="I26" s="29" t="s">
        <v>97</v>
      </c>
      <c r="J26" s="31" t="n">
        <v>2</v>
      </c>
    </row>
    <row r="27" customFormat="false" ht="75" hidden="false" customHeight="true" outlineLevel="0" collapsed="false">
      <c r="B27" s="32" t="s">
        <v>102</v>
      </c>
      <c r="C27" s="33" t="s">
        <v>103</v>
      </c>
      <c r="D27" s="34" t="s">
        <v>104</v>
      </c>
      <c r="E27" s="34"/>
      <c r="F27" s="35" t="s">
        <v>105</v>
      </c>
      <c r="G27" s="34" t="s">
        <v>106</v>
      </c>
      <c r="H27" s="34" t="s">
        <v>40</v>
      </c>
      <c r="I27" s="34" t="s">
        <v>107</v>
      </c>
      <c r="J27" s="36" t="n">
        <v>1</v>
      </c>
    </row>
    <row r="28" customFormat="false" ht="75" hidden="false" customHeight="true" outlineLevel="0" collapsed="false">
      <c r="B28" s="27" t="s">
        <v>108</v>
      </c>
      <c r="C28" s="28"/>
      <c r="D28" s="29" t="s">
        <v>109</v>
      </c>
      <c r="E28" s="29"/>
      <c r="F28" s="30"/>
      <c r="G28" s="29" t="s">
        <v>110</v>
      </c>
      <c r="H28" s="29" t="s">
        <v>40</v>
      </c>
      <c r="I28" s="29" t="s">
        <v>111</v>
      </c>
      <c r="J28" s="31" t="n">
        <v>1</v>
      </c>
    </row>
    <row r="29" customFormat="false" ht="75" hidden="false" customHeight="true" outlineLevel="0" collapsed="false">
      <c r="B29" s="32" t="s">
        <v>112</v>
      </c>
      <c r="C29" s="33"/>
      <c r="D29" s="34" t="s">
        <v>113</v>
      </c>
      <c r="E29" s="34"/>
      <c r="F29" s="35"/>
      <c r="G29" s="34"/>
      <c r="H29" s="34"/>
      <c r="I29" s="34"/>
      <c r="J29" s="36" t="n">
        <v>1</v>
      </c>
    </row>
    <row r="30" customFormat="false" ht="75" hidden="false" customHeight="true" outlineLevel="0" collapsed="false">
      <c r="B30" s="27" t="s">
        <v>114</v>
      </c>
      <c r="C30" s="28" t="s">
        <v>115</v>
      </c>
      <c r="D30" s="29" t="s">
        <v>116</v>
      </c>
      <c r="E30" s="29"/>
      <c r="F30" s="30"/>
      <c r="G30" s="29" t="s">
        <v>117</v>
      </c>
      <c r="H30" s="29"/>
      <c r="I30" s="29"/>
      <c r="J30" s="31" t="n">
        <v>1</v>
      </c>
    </row>
    <row r="31" customFormat="false" ht="75" hidden="false" customHeight="true" outlineLevel="0" collapsed="false">
      <c r="B31" s="32" t="s">
        <v>118</v>
      </c>
      <c r="C31" s="33" t="s">
        <v>119</v>
      </c>
      <c r="D31" s="34" t="s">
        <v>120</v>
      </c>
      <c r="E31" s="34" t="s">
        <v>121</v>
      </c>
      <c r="F31" s="35" t="s">
        <v>32</v>
      </c>
      <c r="G31" s="34" t="s">
        <v>47</v>
      </c>
      <c r="H31" s="34" t="s">
        <v>40</v>
      </c>
      <c r="I31" s="34" t="s">
        <v>122</v>
      </c>
      <c r="J31" s="36" t="n">
        <v>2</v>
      </c>
    </row>
    <row r="32" customFormat="false" ht="75" hidden="false" customHeight="true" outlineLevel="0" collapsed="false">
      <c r="B32" s="27" t="s">
        <v>123</v>
      </c>
      <c r="C32" s="28" t="s">
        <v>124</v>
      </c>
      <c r="D32" s="29" t="s">
        <v>125</v>
      </c>
      <c r="E32" s="29" t="s">
        <v>126</v>
      </c>
      <c r="F32" s="30" t="s">
        <v>46</v>
      </c>
      <c r="G32" s="29" t="s">
        <v>127</v>
      </c>
      <c r="H32" s="29"/>
      <c r="I32" s="29"/>
      <c r="J32" s="31" t="n">
        <v>1</v>
      </c>
    </row>
    <row r="33" customFormat="false" ht="75" hidden="false" customHeight="true" outlineLevel="0" collapsed="false">
      <c r="B33" s="32" t="s">
        <v>128</v>
      </c>
      <c r="C33" s="33" t="s">
        <v>129</v>
      </c>
      <c r="D33" s="34" t="s">
        <v>130</v>
      </c>
      <c r="E33" s="34" t="s">
        <v>131</v>
      </c>
      <c r="F33" s="35" t="s">
        <v>46</v>
      </c>
      <c r="G33" s="34" t="s">
        <v>132</v>
      </c>
      <c r="H33" s="34" t="s">
        <v>40</v>
      </c>
      <c r="I33" s="34" t="s">
        <v>133</v>
      </c>
      <c r="J33" s="36" t="n">
        <v>4</v>
      </c>
    </row>
    <row r="34" customFormat="false" ht="75" hidden="false" customHeight="true" outlineLevel="0" collapsed="false">
      <c r="B34" s="27" t="s">
        <v>134</v>
      </c>
      <c r="C34" s="28" t="s">
        <v>135</v>
      </c>
      <c r="D34" s="29" t="s">
        <v>136</v>
      </c>
      <c r="E34" s="29" t="s">
        <v>137</v>
      </c>
      <c r="F34" s="30" t="s">
        <v>46</v>
      </c>
      <c r="G34" s="29" t="s">
        <v>47</v>
      </c>
      <c r="H34" s="29" t="s">
        <v>40</v>
      </c>
      <c r="I34" s="29" t="s">
        <v>138</v>
      </c>
      <c r="J34" s="31" t="n">
        <v>7</v>
      </c>
    </row>
    <row r="35" customFormat="false" ht="75" hidden="false" customHeight="true" outlineLevel="0" collapsed="false">
      <c r="B35" s="32" t="s">
        <v>139</v>
      </c>
      <c r="C35" s="33" t="s">
        <v>140</v>
      </c>
      <c r="D35" s="34" t="s">
        <v>141</v>
      </c>
      <c r="E35" s="34" t="s">
        <v>142</v>
      </c>
      <c r="F35" s="35" t="s">
        <v>32</v>
      </c>
      <c r="G35" s="34" t="s">
        <v>143</v>
      </c>
      <c r="H35" s="34" t="s">
        <v>40</v>
      </c>
      <c r="I35" s="34" t="s">
        <v>144</v>
      </c>
      <c r="J35" s="36" t="n">
        <v>3</v>
      </c>
    </row>
    <row r="36" customFormat="false" ht="75" hidden="false" customHeight="true" outlineLevel="0" collapsed="false">
      <c r="B36" s="27" t="s">
        <v>145</v>
      </c>
      <c r="C36" s="28" t="s">
        <v>146</v>
      </c>
      <c r="D36" s="29" t="s">
        <v>147</v>
      </c>
      <c r="E36" s="29" t="s">
        <v>148</v>
      </c>
      <c r="F36" s="30" t="s">
        <v>32</v>
      </c>
      <c r="G36" s="29" t="s">
        <v>47</v>
      </c>
      <c r="H36" s="29" t="s">
        <v>40</v>
      </c>
      <c r="I36" s="29" t="s">
        <v>149</v>
      </c>
      <c r="J36" s="31" t="n">
        <v>2</v>
      </c>
    </row>
    <row r="37" customFormat="false" ht="75" hidden="false" customHeight="true" outlineLevel="0" collapsed="false">
      <c r="B37" s="32" t="s">
        <v>150</v>
      </c>
      <c r="C37" s="33"/>
      <c r="D37" s="34" t="s">
        <v>151</v>
      </c>
      <c r="E37" s="34"/>
      <c r="F37" s="35"/>
      <c r="G37" s="34" t="s">
        <v>110</v>
      </c>
      <c r="H37" s="34" t="s">
        <v>40</v>
      </c>
      <c r="I37" s="34" t="s">
        <v>152</v>
      </c>
      <c r="J37" s="36" t="n">
        <v>1</v>
      </c>
    </row>
    <row r="38" customFormat="false" ht="75" hidden="false" customHeight="true" outlineLevel="0" collapsed="false">
      <c r="B38" s="27" t="s">
        <v>153</v>
      </c>
      <c r="C38" s="28"/>
      <c r="D38" s="29" t="s">
        <v>154</v>
      </c>
      <c r="E38" s="29"/>
      <c r="F38" s="30"/>
      <c r="G38" s="29" t="s">
        <v>110</v>
      </c>
      <c r="H38" s="29" t="s">
        <v>40</v>
      </c>
      <c r="I38" s="29" t="s">
        <v>155</v>
      </c>
      <c r="J38" s="31" t="n">
        <v>4</v>
      </c>
    </row>
    <row r="39" customFormat="false" ht="75" hidden="false" customHeight="true" outlineLevel="0" collapsed="false">
      <c r="B39" s="32" t="s">
        <v>156</v>
      </c>
      <c r="C39" s="33"/>
      <c r="D39" s="34" t="s">
        <v>157</v>
      </c>
      <c r="E39" s="34"/>
      <c r="F39" s="35"/>
      <c r="G39" s="34" t="s">
        <v>95</v>
      </c>
      <c r="H39" s="34" t="s">
        <v>40</v>
      </c>
      <c r="I39" s="34" t="s">
        <v>158</v>
      </c>
      <c r="J39" s="36" t="n">
        <v>1</v>
      </c>
    </row>
    <row r="40" customFormat="false" ht="75" hidden="false" customHeight="true" outlineLevel="0" collapsed="false">
      <c r="B40" s="27" t="s">
        <v>159</v>
      </c>
      <c r="C40" s="28"/>
      <c r="D40" s="29" t="s">
        <v>160</v>
      </c>
      <c r="E40" s="29"/>
      <c r="F40" s="30"/>
      <c r="G40" s="29" t="s">
        <v>161</v>
      </c>
      <c r="H40" s="29" t="s">
        <v>40</v>
      </c>
      <c r="I40" s="29" t="s">
        <v>162</v>
      </c>
      <c r="J40" s="31" t="n">
        <v>1</v>
      </c>
    </row>
    <row r="41" customFormat="false" ht="75" hidden="false" customHeight="true" outlineLevel="0" collapsed="false">
      <c r="B41" s="32" t="s">
        <v>163</v>
      </c>
      <c r="C41" s="33" t="s">
        <v>164</v>
      </c>
      <c r="D41" s="34" t="s">
        <v>165</v>
      </c>
      <c r="E41" s="34"/>
      <c r="F41" s="35"/>
      <c r="G41" s="34" t="s">
        <v>86</v>
      </c>
      <c r="H41" s="34" t="s">
        <v>40</v>
      </c>
      <c r="I41" s="34" t="s">
        <v>166</v>
      </c>
      <c r="J41" s="36" t="n">
        <v>1</v>
      </c>
    </row>
    <row r="42" customFormat="false" ht="75" hidden="false" customHeight="true" outlineLevel="0" collapsed="false">
      <c r="B42" s="27" t="s">
        <v>167</v>
      </c>
      <c r="C42" s="28" t="s">
        <v>168</v>
      </c>
      <c r="D42" s="29" t="s">
        <v>169</v>
      </c>
      <c r="E42" s="29"/>
      <c r="F42" s="30"/>
      <c r="G42" s="29"/>
      <c r="H42" s="29"/>
      <c r="I42" s="29"/>
      <c r="J42" s="31" t="n">
        <v>1</v>
      </c>
    </row>
    <row r="43" customFormat="false" ht="75" hidden="false" customHeight="true" outlineLevel="0" collapsed="false">
      <c r="B43" s="32" t="s">
        <v>170</v>
      </c>
      <c r="C43" s="33" t="s">
        <v>171</v>
      </c>
      <c r="D43" s="34" t="s">
        <v>172</v>
      </c>
      <c r="E43" s="34"/>
      <c r="F43" s="35" t="s">
        <v>173</v>
      </c>
      <c r="G43" s="34" t="s">
        <v>174</v>
      </c>
      <c r="H43" s="34" t="s">
        <v>40</v>
      </c>
      <c r="I43" s="34" t="s">
        <v>175</v>
      </c>
      <c r="J43" s="36" t="n">
        <v>1</v>
      </c>
    </row>
    <row r="44" customFormat="false" ht="15.75" hidden="false" customHeight="true" outlineLevel="0" collapsed="false">
      <c r="B44" s="37"/>
      <c r="C44" s="38"/>
      <c r="D44" s="38"/>
      <c r="E44" s="38"/>
      <c r="F44" s="39"/>
      <c r="G44" s="38"/>
      <c r="H44" s="38"/>
      <c r="I44" s="38"/>
      <c r="J44" s="40" t="n">
        <f aca="false">SUM(J12:J43)</f>
        <v>70</v>
      </c>
    </row>
    <row r="46" customFormat="false" ht="14.25" hidden="false" customHeight="true" outlineLevel="0" collapsed="false"/>
    <row r="47" customFormat="false" ht="14.25" hidden="false" customHeight="false" outlineLevel="0" collapsed="false">
      <c r="B47" s="41" t="s">
        <v>176</v>
      </c>
      <c r="C47" s="4"/>
      <c r="D47" s="4"/>
      <c r="E47" s="4"/>
      <c r="F47" s="42"/>
      <c r="G47" s="4"/>
      <c r="H47" s="4"/>
      <c r="I47" s="4"/>
      <c r="J47" s="8"/>
    </row>
    <row r="48" customFormat="false" ht="14.25" hidden="false" customHeight="false" outlineLevel="0" collapsed="false">
      <c r="B48" s="43" t="s">
        <v>177</v>
      </c>
      <c r="C48" s="43"/>
      <c r="D48" s="43"/>
      <c r="E48" s="43"/>
      <c r="F48" s="43"/>
      <c r="G48" s="43"/>
      <c r="H48" s="43"/>
      <c r="I48" s="43"/>
      <c r="J48" s="43"/>
    </row>
    <row r="49" customFormat="false" ht="14.25" hidden="false" customHeight="false" outlineLevel="0" collapsed="false">
      <c r="B49" s="43" t="s">
        <v>178</v>
      </c>
      <c r="C49" s="43"/>
      <c r="D49" s="43"/>
      <c r="E49" s="43"/>
      <c r="F49" s="43"/>
      <c r="G49" s="43"/>
      <c r="H49" s="43"/>
      <c r="I49" s="43"/>
      <c r="J49" s="43"/>
    </row>
    <row r="50" customFormat="false" ht="14.25" hidden="false" customHeight="false" outlineLevel="0" collapsed="false">
      <c r="B50" s="43"/>
      <c r="C50" s="43"/>
      <c r="D50" s="43"/>
      <c r="E50" s="43"/>
      <c r="F50" s="43"/>
      <c r="G50" s="43"/>
      <c r="H50" s="43"/>
      <c r="I50" s="43"/>
      <c r="J50" s="43"/>
    </row>
    <row r="51" customFormat="false" ht="14.25" hidden="false" customHeight="false" outlineLevel="0" collapsed="false">
      <c r="B51" s="43"/>
      <c r="C51" s="43"/>
      <c r="D51" s="43"/>
      <c r="E51" s="43"/>
      <c r="F51" s="43"/>
      <c r="G51" s="43"/>
      <c r="H51" s="43"/>
      <c r="I51" s="43"/>
      <c r="J51" s="43"/>
    </row>
    <row r="52" customFormat="false" ht="14.25" hidden="false" customHeight="false" outlineLevel="0" collapsed="false">
      <c r="B52" s="43"/>
      <c r="C52" s="43"/>
      <c r="D52" s="43"/>
      <c r="E52" s="43"/>
      <c r="F52" s="43"/>
      <c r="G52" s="43"/>
      <c r="H52" s="43"/>
      <c r="I52" s="43"/>
      <c r="J52" s="43"/>
    </row>
    <row r="53" customFormat="false" ht="15" hidden="false" customHeight="true" outlineLevel="0" collapsed="false">
      <c r="B53" s="44"/>
      <c r="C53" s="45"/>
      <c r="D53" s="45"/>
      <c r="E53" s="45"/>
      <c r="F53" s="46"/>
      <c r="G53" s="45"/>
      <c r="H53" s="45"/>
      <c r="I53" s="45"/>
      <c r="J53" s="47"/>
    </row>
  </sheetData>
  <mergeCells count="7">
    <mergeCell ref="D2:G9"/>
    <mergeCell ref="H3:J9"/>
    <mergeCell ref="B48:J48"/>
    <mergeCell ref="B49:J49"/>
    <mergeCell ref="B50:J50"/>
    <mergeCell ref="B51:J51"/>
    <mergeCell ref="B52:J52"/>
  </mergeCells>
  <printOptions headings="false" gridLines="false" gridLinesSet="true" horizontalCentered="false" verticalCentered="false"/>
  <pageMargins left="0.236111111111111" right="0.236111111111111" top="0.747916666666667" bottom="0.748611111111111" header="0.315277777777778" footer="0.315277777777778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&amp;L&amp;24 &amp;F&amp;C&amp;"Calibri,Bold"&amp;24  Confidential&amp;R&amp;A</oddHeader>
    <oddFooter>&amp;LDesigned by NSquare Bros&amp;Cwww.nsquarebros.com&amp;RPage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true"/>
  </sheetPr>
  <dimension ref="B2:Y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21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6" min="15" style="0" width="10"/>
    <col collapsed="false" customWidth="true" hidden="false" outlineLevel="0" max="18" min="17" style="0" width="11"/>
    <col collapsed="false" customWidth="true" hidden="false" outlineLevel="0" max="19" min="19" style="0" width="9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26"/>
    <col collapsed="false" customWidth="true" hidden="false" outlineLevel="0" max="25" min="25" style="0" width="48"/>
  </cols>
  <sheetData>
    <row r="2" customFormat="false" ht="29.15" hidden="false" customHeight="false" outlineLevel="0" collapsed="false">
      <c r="B2" s="48" t="s">
        <v>179</v>
      </c>
    </row>
    <row r="3" customFormat="false" ht="15" hidden="false" customHeight="false" outlineLevel="0" collapsed="false">
      <c r="B3" s="49" t="s">
        <v>180</v>
      </c>
    </row>
    <row r="4" customFormat="false" ht="15" hidden="false" customHeight="false" outlineLevel="0" collapsed="false">
      <c r="C4" s="50" t="s">
        <v>3</v>
      </c>
      <c r="D4" s="51" t="s">
        <v>4</v>
      </c>
      <c r="E4" s="52" t="s">
        <v>181</v>
      </c>
      <c r="I4" s="52" t="s">
        <v>182</v>
      </c>
    </row>
    <row r="5" customFormat="false" ht="15" hidden="false" customHeight="false" outlineLevel="0" collapsed="false">
      <c r="C5" s="50" t="s">
        <v>183</v>
      </c>
      <c r="D5" s="51" t="s">
        <v>184</v>
      </c>
      <c r="E5" s="51" t="s">
        <v>185</v>
      </c>
      <c r="G5" s="53" t="n">
        <v>15</v>
      </c>
      <c r="I5" s="51" t="s">
        <v>186</v>
      </c>
      <c r="J5" s="54" t="n">
        <f aca="false">COUNTA(C13:C40)</f>
        <v>28</v>
      </c>
    </row>
    <row r="6" customFormat="false" ht="15" hidden="false" customHeight="false" outlineLevel="0" collapsed="false">
      <c r="C6" s="50" t="s">
        <v>7</v>
      </c>
      <c r="D6" s="51" t="s">
        <v>187</v>
      </c>
      <c r="E6" s="51" t="s">
        <v>188</v>
      </c>
      <c r="G6" s="55" t="n">
        <v>95.89</v>
      </c>
      <c r="I6" s="51" t="s">
        <v>189</v>
      </c>
      <c r="J6" s="54" t="n">
        <f aca="false">SUM(K13:K40)</f>
        <v>58</v>
      </c>
    </row>
    <row r="7" customFormat="false" ht="15" hidden="false" customHeight="false" outlineLevel="0" collapsed="false">
      <c r="C7" s="50" t="s">
        <v>190</v>
      </c>
      <c r="D7" s="51" t="s">
        <v>191</v>
      </c>
      <c r="I7" s="51" t="s">
        <v>192</v>
      </c>
      <c r="J7" s="56" t="n">
        <f aca="false">Q41</f>
        <v>3938.680843</v>
      </c>
    </row>
    <row r="8" customFormat="false" ht="15" hidden="false" customHeight="false" outlineLevel="0" collapsed="false">
      <c r="I8" s="51" t="s">
        <v>193</v>
      </c>
      <c r="J8" s="57" t="n">
        <f aca="false">R41</f>
        <v>41.0749905412452</v>
      </c>
    </row>
    <row r="9" customFormat="false" ht="15" hidden="false" customHeight="false" outlineLevel="0" collapsed="false">
      <c r="I9" s="51" t="s">
        <v>194</v>
      </c>
      <c r="J9" s="58" t="n">
        <f aca="false">T41</f>
        <v>59080.212645</v>
      </c>
    </row>
    <row r="10" customFormat="false" ht="15" hidden="false" customHeight="false" outlineLevel="0" collapsed="false">
      <c r="B10" s="59" t="s">
        <v>195</v>
      </c>
      <c r="I10" s="51" t="s">
        <v>196</v>
      </c>
      <c r="J10" s="54" t="n">
        <f aca="false">COUNTBLANK(L13:L40)</f>
        <v>1</v>
      </c>
    </row>
    <row r="12" customFormat="false" ht="45" hidden="false" customHeight="true" outlineLevel="0" collapsed="false">
      <c r="B12" s="60" t="s">
        <v>197</v>
      </c>
      <c r="C12" s="60" t="s">
        <v>198</v>
      </c>
      <c r="D12" s="60" t="s">
        <v>13</v>
      </c>
      <c r="E12" s="60" t="s">
        <v>14</v>
      </c>
      <c r="F12" s="60" t="s">
        <v>15</v>
      </c>
      <c r="G12" s="60" t="s">
        <v>16</v>
      </c>
      <c r="H12" s="60" t="s">
        <v>17</v>
      </c>
      <c r="I12" s="60" t="s">
        <v>199</v>
      </c>
      <c r="J12" s="60" t="s">
        <v>19</v>
      </c>
      <c r="K12" s="60" t="s">
        <v>200</v>
      </c>
      <c r="L12" s="60" t="s">
        <v>201</v>
      </c>
      <c r="M12" s="60" t="s">
        <v>202</v>
      </c>
      <c r="N12" s="60" t="s">
        <v>203</v>
      </c>
      <c r="O12" s="60" t="s">
        <v>204</v>
      </c>
      <c r="P12" s="60" t="s">
        <v>205</v>
      </c>
      <c r="Q12" s="60" t="s">
        <v>206</v>
      </c>
      <c r="R12" s="60" t="s">
        <v>207</v>
      </c>
      <c r="S12" s="60" t="s">
        <v>208</v>
      </c>
      <c r="T12" s="60" t="s">
        <v>209</v>
      </c>
      <c r="U12" s="60" t="s">
        <v>210</v>
      </c>
      <c r="V12" s="60" t="s">
        <v>211</v>
      </c>
      <c r="W12" s="60" t="s">
        <v>212</v>
      </c>
      <c r="X12" s="60" t="s">
        <v>213</v>
      </c>
      <c r="Y12" s="60" t="s">
        <v>214</v>
      </c>
    </row>
    <row r="13" customFormat="false" ht="48.75" hidden="false" customHeight="true" outlineLevel="0" collapsed="false">
      <c r="B13" s="61" t="n">
        <v>1</v>
      </c>
      <c r="C13" s="62" t="s">
        <v>26</v>
      </c>
      <c r="D13" s="62" t="s">
        <v>215</v>
      </c>
      <c r="E13" s="62" t="s">
        <v>27</v>
      </c>
      <c r="F13" s="62"/>
      <c r="G13" s="62"/>
      <c r="H13" s="62"/>
      <c r="I13" s="62"/>
      <c r="J13" s="62"/>
      <c r="K13" s="63" t="n">
        <v>1</v>
      </c>
      <c r="L13" s="64" t="n">
        <v>12.5</v>
      </c>
      <c r="M13" s="63" t="s">
        <v>216</v>
      </c>
      <c r="N13" s="65" t="s">
        <v>217</v>
      </c>
      <c r="O13" s="66" t="n">
        <f aca="false">IF(L13="","",IF(M13="INR",L13/$G$6,L13))</f>
        <v>12.5</v>
      </c>
      <c r="P13" s="67" t="n">
        <f aca="false">IF(L13="","",IF(M13="INR",L13,L13*$G$6))</f>
        <v>1198.625</v>
      </c>
      <c r="Q13" s="67" t="n">
        <f aca="false">IF(P13="",0,K13*P13)</f>
        <v>1198.625</v>
      </c>
      <c r="R13" s="66" t="n">
        <f aca="false">IF(O13="",0,K13*O13)</f>
        <v>12.5</v>
      </c>
      <c r="S13" s="61" t="n">
        <f aca="false">K13*$G$5</f>
        <v>15</v>
      </c>
      <c r="T13" s="67" t="n">
        <f aca="false">IF(P13="",0,S13*P13)</f>
        <v>17979.375</v>
      </c>
      <c r="U13" s="65" t="s">
        <v>218</v>
      </c>
      <c r="V13" s="63" t="s">
        <v>219</v>
      </c>
      <c r="W13" s="68" t="s">
        <v>220</v>
      </c>
      <c r="X13" s="62"/>
      <c r="Y13" s="62" t="s">
        <v>221</v>
      </c>
    </row>
    <row r="14" customFormat="false" ht="33.75" hidden="false" customHeight="true" outlineLevel="0" collapsed="false">
      <c r="B14" s="61" t="n">
        <v>2</v>
      </c>
      <c r="C14" s="62" t="s">
        <v>28</v>
      </c>
      <c r="D14" s="62" t="s">
        <v>222</v>
      </c>
      <c r="E14" s="62" t="s">
        <v>223</v>
      </c>
      <c r="F14" s="62" t="s">
        <v>31</v>
      </c>
      <c r="G14" s="62" t="s">
        <v>32</v>
      </c>
      <c r="H14" s="62" t="s">
        <v>33</v>
      </c>
      <c r="I14" s="62" t="s">
        <v>34</v>
      </c>
      <c r="J14" s="62" t="s">
        <v>28</v>
      </c>
      <c r="K14" s="63" t="n">
        <v>5</v>
      </c>
      <c r="L14" s="64" t="n">
        <v>0.08</v>
      </c>
      <c r="M14" s="63" t="s">
        <v>216</v>
      </c>
      <c r="N14" s="65" t="s">
        <v>217</v>
      </c>
      <c r="O14" s="66" t="n">
        <f aca="false">IF(L14="","",IF(M14="INR",L14/$G$6,L14))</f>
        <v>0.08</v>
      </c>
      <c r="P14" s="67" t="n">
        <f aca="false">IF(L14="","",IF(M14="INR",L14,L14*$G$6))</f>
        <v>7.6712</v>
      </c>
      <c r="Q14" s="67" t="n">
        <f aca="false">IF(P14="",0,K14*P14)</f>
        <v>38.356</v>
      </c>
      <c r="R14" s="66" t="n">
        <f aca="false">IF(O14="",0,K14*O14)</f>
        <v>0.4</v>
      </c>
      <c r="S14" s="61" t="n">
        <f aca="false">K14*$G$5</f>
        <v>75</v>
      </c>
      <c r="T14" s="67" t="n">
        <f aca="false">IF(P14="",0,S14*P14)</f>
        <v>575.34</v>
      </c>
      <c r="U14" s="65" t="s">
        <v>40</v>
      </c>
      <c r="V14" s="63" t="s">
        <v>224</v>
      </c>
      <c r="W14" s="68" t="s">
        <v>220</v>
      </c>
      <c r="X14" s="69" t="s">
        <v>225</v>
      </c>
      <c r="Y14" s="62" t="s">
        <v>226</v>
      </c>
    </row>
    <row r="15" customFormat="false" ht="48.75" hidden="false" customHeight="true" outlineLevel="0" collapsed="false">
      <c r="B15" s="61" t="n">
        <v>3</v>
      </c>
      <c r="C15" s="62" t="s">
        <v>35</v>
      </c>
      <c r="D15" s="62" t="s">
        <v>227</v>
      </c>
      <c r="E15" s="62" t="s">
        <v>228</v>
      </c>
      <c r="F15" s="62" t="s">
        <v>38</v>
      </c>
      <c r="G15" s="62" t="s">
        <v>32</v>
      </c>
      <c r="H15" s="62" t="s">
        <v>39</v>
      </c>
      <c r="I15" s="62" t="s">
        <v>40</v>
      </c>
      <c r="J15" s="62" t="s">
        <v>41</v>
      </c>
      <c r="K15" s="63" t="n">
        <v>2</v>
      </c>
      <c r="L15" s="64" t="n">
        <v>0.17</v>
      </c>
      <c r="M15" s="63" t="s">
        <v>216</v>
      </c>
      <c r="N15" s="65" t="s">
        <v>217</v>
      </c>
      <c r="O15" s="66" t="n">
        <f aca="false">IF(L15="","",IF(M15="INR",L15/$G$6,L15))</f>
        <v>0.17</v>
      </c>
      <c r="P15" s="67" t="n">
        <f aca="false">IF(L15="","",IF(M15="INR",L15,L15*$G$6))</f>
        <v>16.3013</v>
      </c>
      <c r="Q15" s="67" t="n">
        <f aca="false">IF(P15="",0,K15*P15)</f>
        <v>32.6026</v>
      </c>
      <c r="R15" s="66" t="n">
        <f aca="false">IF(O15="",0,K15*O15)</f>
        <v>0.34</v>
      </c>
      <c r="S15" s="61" t="n">
        <f aca="false">K15*$G$5</f>
        <v>30</v>
      </c>
      <c r="T15" s="67" t="n">
        <f aca="false">IF(P15="",0,S15*P15)</f>
        <v>489.039</v>
      </c>
      <c r="U15" s="65" t="s">
        <v>40</v>
      </c>
      <c r="V15" s="63" t="s">
        <v>224</v>
      </c>
      <c r="W15" s="68" t="s">
        <v>220</v>
      </c>
      <c r="X15" s="69" t="s">
        <v>229</v>
      </c>
      <c r="Y15" s="62" t="s">
        <v>230</v>
      </c>
    </row>
    <row r="16" customFormat="false" ht="48.75" hidden="false" customHeight="true" outlineLevel="0" collapsed="false">
      <c r="B16" s="61" t="n">
        <v>4</v>
      </c>
      <c r="C16" s="62" t="s">
        <v>42</v>
      </c>
      <c r="D16" s="62" t="s">
        <v>231</v>
      </c>
      <c r="E16" s="62" t="s">
        <v>232</v>
      </c>
      <c r="F16" s="62" t="s">
        <v>45</v>
      </c>
      <c r="G16" s="62" t="s">
        <v>46</v>
      </c>
      <c r="H16" s="62" t="s">
        <v>47</v>
      </c>
      <c r="I16" s="62" t="s">
        <v>40</v>
      </c>
      <c r="J16" s="62" t="s">
        <v>48</v>
      </c>
      <c r="K16" s="63" t="n">
        <v>11</v>
      </c>
      <c r="L16" s="64" t="n">
        <v>0.0044</v>
      </c>
      <c r="M16" s="63" t="s">
        <v>216</v>
      </c>
      <c r="N16" s="65" t="s">
        <v>233</v>
      </c>
      <c r="O16" s="66" t="n">
        <f aca="false">IF(L16="","",IF(M16="INR",L16/$G$6,L16))</f>
        <v>0.0044</v>
      </c>
      <c r="P16" s="67" t="n">
        <f aca="false">IF(L16="","",IF(M16="INR",L16,L16*$G$6))</f>
        <v>0.421916</v>
      </c>
      <c r="Q16" s="67" t="n">
        <f aca="false">IF(P16="",0,K16*P16)</f>
        <v>4.641076</v>
      </c>
      <c r="R16" s="66" t="n">
        <f aca="false">IF(O16="",0,K16*O16)</f>
        <v>0.0484</v>
      </c>
      <c r="S16" s="61" t="n">
        <f aca="false">K16*$G$5</f>
        <v>165</v>
      </c>
      <c r="T16" s="67" t="n">
        <f aca="false">IF(P16="",0,S16*P16)</f>
        <v>69.61614</v>
      </c>
      <c r="U16" s="65" t="s">
        <v>34</v>
      </c>
      <c r="V16" s="63" t="s">
        <v>219</v>
      </c>
      <c r="W16" s="68" t="s">
        <v>220</v>
      </c>
      <c r="X16" s="69" t="s">
        <v>234</v>
      </c>
      <c r="Y16" s="62"/>
    </row>
    <row r="17" customFormat="false" ht="18.75" hidden="false" customHeight="true" outlineLevel="0" collapsed="false">
      <c r="B17" s="61" t="n">
        <v>5</v>
      </c>
      <c r="C17" s="62" t="s">
        <v>54</v>
      </c>
      <c r="D17" s="62" t="s">
        <v>235</v>
      </c>
      <c r="E17" s="62" t="s">
        <v>56</v>
      </c>
      <c r="F17" s="62" t="s">
        <v>57</v>
      </c>
      <c r="G17" s="62" t="s">
        <v>32</v>
      </c>
      <c r="H17" s="62" t="s">
        <v>39</v>
      </c>
      <c r="I17" s="62" t="s">
        <v>40</v>
      </c>
      <c r="J17" s="62" t="s">
        <v>58</v>
      </c>
      <c r="K17" s="63" t="n">
        <v>1</v>
      </c>
      <c r="L17" s="64" t="n">
        <v>0.0172</v>
      </c>
      <c r="M17" s="63" t="s">
        <v>216</v>
      </c>
      <c r="N17" s="65" t="s">
        <v>236</v>
      </c>
      <c r="O17" s="66" t="n">
        <f aca="false">IF(L17="","",IF(M17="INR",L17/$G$6,L17))</f>
        <v>0.0172</v>
      </c>
      <c r="P17" s="67" t="n">
        <f aca="false">IF(L17="","",IF(M17="INR",L17,L17*$G$6))</f>
        <v>1.649308</v>
      </c>
      <c r="Q17" s="67" t="n">
        <f aca="false">IF(P17="",0,K17*P17)</f>
        <v>1.649308</v>
      </c>
      <c r="R17" s="66" t="n">
        <f aca="false">IF(O17="",0,K17*O17)</f>
        <v>0.0172</v>
      </c>
      <c r="S17" s="61" t="n">
        <f aca="false">K17*$G$5</f>
        <v>15</v>
      </c>
      <c r="T17" s="67" t="n">
        <f aca="false">IF(P17="",0,S17*P17)</f>
        <v>24.73962</v>
      </c>
      <c r="U17" s="65" t="s">
        <v>237</v>
      </c>
      <c r="V17" s="63" t="s">
        <v>224</v>
      </c>
      <c r="W17" s="68" t="s">
        <v>220</v>
      </c>
      <c r="X17" s="62"/>
      <c r="Y17" s="62"/>
    </row>
    <row r="18" customFormat="false" ht="18.75" hidden="false" customHeight="true" outlineLevel="0" collapsed="false">
      <c r="B18" s="61" t="n">
        <v>6</v>
      </c>
      <c r="C18" s="62" t="s">
        <v>59</v>
      </c>
      <c r="D18" s="62" t="s">
        <v>238</v>
      </c>
      <c r="E18" s="62" t="s">
        <v>61</v>
      </c>
      <c r="F18" s="62"/>
      <c r="G18" s="62"/>
      <c r="H18" s="62" t="s">
        <v>62</v>
      </c>
      <c r="I18" s="62" t="s">
        <v>40</v>
      </c>
      <c r="J18" s="62" t="s">
        <v>63</v>
      </c>
      <c r="K18" s="63" t="n">
        <v>2</v>
      </c>
      <c r="L18" s="64" t="n">
        <v>0.38</v>
      </c>
      <c r="M18" s="63" t="s">
        <v>216</v>
      </c>
      <c r="N18" s="65" t="s">
        <v>239</v>
      </c>
      <c r="O18" s="66" t="n">
        <f aca="false">IF(L18="","",IF(M18="INR",L18/$G$6,L18))</f>
        <v>0.38</v>
      </c>
      <c r="P18" s="67" t="n">
        <f aca="false">IF(L18="","",IF(M18="INR",L18,L18*$G$6))</f>
        <v>36.4382</v>
      </c>
      <c r="Q18" s="67" t="n">
        <f aca="false">IF(P18="",0,K18*P18)</f>
        <v>72.8764</v>
      </c>
      <c r="R18" s="66" t="n">
        <f aca="false">IF(O18="",0,K18*O18)</f>
        <v>0.76</v>
      </c>
      <c r="S18" s="61" t="n">
        <f aca="false">K18*$G$5</f>
        <v>30</v>
      </c>
      <c r="T18" s="67" t="n">
        <f aca="false">IF(P18="",0,S18*P18)</f>
        <v>1093.146</v>
      </c>
      <c r="U18" s="65" t="s">
        <v>40</v>
      </c>
      <c r="V18" s="63" t="s">
        <v>224</v>
      </c>
      <c r="W18" s="68" t="s">
        <v>220</v>
      </c>
      <c r="X18" s="62"/>
      <c r="Y18" s="62"/>
    </row>
    <row r="19" customFormat="false" ht="33.75" hidden="false" customHeight="true" outlineLevel="0" collapsed="false">
      <c r="B19" s="61" t="n">
        <v>7</v>
      </c>
      <c r="C19" s="62" t="s">
        <v>64</v>
      </c>
      <c r="D19" s="62" t="s">
        <v>240</v>
      </c>
      <c r="E19" s="62" t="s">
        <v>66</v>
      </c>
      <c r="F19" s="62"/>
      <c r="G19" s="62"/>
      <c r="H19" s="62" t="s">
        <v>67</v>
      </c>
      <c r="I19" s="62" t="s">
        <v>40</v>
      </c>
      <c r="J19" s="62" t="s">
        <v>68</v>
      </c>
      <c r="K19" s="63" t="n">
        <v>1</v>
      </c>
      <c r="L19" s="64" t="n">
        <v>0.52</v>
      </c>
      <c r="M19" s="63" t="s">
        <v>216</v>
      </c>
      <c r="N19" s="65" t="s">
        <v>217</v>
      </c>
      <c r="O19" s="66" t="n">
        <f aca="false">IF(L19="","",IF(M19="INR",L19/$G$6,L19))</f>
        <v>0.52</v>
      </c>
      <c r="P19" s="67" t="n">
        <f aca="false">IF(L19="","",IF(M19="INR",L19,L19*$G$6))</f>
        <v>49.8628</v>
      </c>
      <c r="Q19" s="67" t="n">
        <f aca="false">IF(P19="",0,K19*P19)</f>
        <v>49.8628</v>
      </c>
      <c r="R19" s="66" t="n">
        <f aca="false">IF(O19="",0,K19*O19)</f>
        <v>0.52</v>
      </c>
      <c r="S19" s="61" t="n">
        <f aca="false">K19*$G$5</f>
        <v>15</v>
      </c>
      <c r="T19" s="67" t="n">
        <f aca="false">IF(P19="",0,S19*P19)</f>
        <v>747.942</v>
      </c>
      <c r="U19" s="65" t="s">
        <v>40</v>
      </c>
      <c r="V19" s="63" t="s">
        <v>224</v>
      </c>
      <c r="W19" s="68" t="s">
        <v>220</v>
      </c>
      <c r="X19" s="62"/>
      <c r="Y19" s="62" t="s">
        <v>241</v>
      </c>
    </row>
    <row r="20" customFormat="false" ht="48.75" hidden="false" customHeight="true" outlineLevel="0" collapsed="false">
      <c r="B20" s="61" t="n">
        <v>8</v>
      </c>
      <c r="C20" s="62" t="s">
        <v>69</v>
      </c>
      <c r="D20" s="62" t="s">
        <v>242</v>
      </c>
      <c r="E20" s="62" t="s">
        <v>70</v>
      </c>
      <c r="F20" s="62"/>
      <c r="G20" s="62"/>
      <c r="H20" s="62" t="s">
        <v>243</v>
      </c>
      <c r="I20" s="62" t="s">
        <v>40</v>
      </c>
      <c r="J20" s="62" t="s">
        <v>72</v>
      </c>
      <c r="K20" s="63" t="n">
        <v>1</v>
      </c>
      <c r="L20" s="64" t="n">
        <v>0.25</v>
      </c>
      <c r="M20" s="63" t="s">
        <v>216</v>
      </c>
      <c r="N20" s="65" t="s">
        <v>217</v>
      </c>
      <c r="O20" s="66" t="n">
        <f aca="false">IF(L20="","",IF(M20="INR",L20/$G$6,L20))</f>
        <v>0.25</v>
      </c>
      <c r="P20" s="67" t="n">
        <f aca="false">IF(L20="","",IF(M20="INR",L20,L20*$G$6))</f>
        <v>23.9725</v>
      </c>
      <c r="Q20" s="67" t="n">
        <f aca="false">IF(P20="",0,K20*P20)</f>
        <v>23.9725</v>
      </c>
      <c r="R20" s="66" t="n">
        <f aca="false">IF(O20="",0,K20*O20)</f>
        <v>0.25</v>
      </c>
      <c r="S20" s="61" t="n">
        <f aca="false">K20*$G$5</f>
        <v>15</v>
      </c>
      <c r="T20" s="67" t="n">
        <f aca="false">IF(P20="",0,S20*P20)</f>
        <v>359.5875</v>
      </c>
      <c r="U20" s="65" t="s">
        <v>40</v>
      </c>
      <c r="V20" s="63" t="s">
        <v>219</v>
      </c>
      <c r="W20" s="68" t="s">
        <v>220</v>
      </c>
      <c r="X20" s="62"/>
      <c r="Y20" s="62" t="s">
        <v>244</v>
      </c>
    </row>
    <row r="21" customFormat="false" ht="63.75" hidden="false" customHeight="true" outlineLevel="0" collapsed="false">
      <c r="B21" s="61" t="n">
        <v>9</v>
      </c>
      <c r="C21" s="62" t="s">
        <v>79</v>
      </c>
      <c r="D21" s="62" t="s">
        <v>245</v>
      </c>
      <c r="E21" s="62" t="s">
        <v>81</v>
      </c>
      <c r="F21" s="62"/>
      <c r="G21" s="62"/>
      <c r="H21" s="62" t="s">
        <v>82</v>
      </c>
      <c r="I21" s="62" t="s">
        <v>40</v>
      </c>
      <c r="J21" s="62" t="s">
        <v>83</v>
      </c>
      <c r="K21" s="63" t="n">
        <v>1</v>
      </c>
      <c r="L21" s="64" t="n">
        <v>5.95</v>
      </c>
      <c r="M21" s="63" t="s">
        <v>216</v>
      </c>
      <c r="N21" s="65" t="s">
        <v>217</v>
      </c>
      <c r="O21" s="66" t="n">
        <f aca="false">IF(L21="","",IF(M21="INR",L21/$G$6,L21))</f>
        <v>5.95</v>
      </c>
      <c r="P21" s="67" t="n">
        <f aca="false">IF(L21="","",IF(M21="INR",L21,L21*$G$6))</f>
        <v>570.5455</v>
      </c>
      <c r="Q21" s="67" t="n">
        <f aca="false">IF(P21="",0,K21*P21)</f>
        <v>570.5455</v>
      </c>
      <c r="R21" s="66" t="n">
        <f aca="false">IF(O21="",0,K21*O21)</f>
        <v>5.95</v>
      </c>
      <c r="S21" s="61" t="n">
        <f aca="false">K21*$G$5</f>
        <v>15</v>
      </c>
      <c r="T21" s="67" t="n">
        <f aca="false">IF(P21="",0,S21*P21)</f>
        <v>8558.1825</v>
      </c>
      <c r="U21" s="65" t="s">
        <v>40</v>
      </c>
      <c r="V21" s="63" t="s">
        <v>224</v>
      </c>
      <c r="W21" s="68" t="s">
        <v>220</v>
      </c>
      <c r="X21" s="62"/>
      <c r="Y21" s="62" t="s">
        <v>246</v>
      </c>
    </row>
    <row r="22" customFormat="false" ht="18.75" hidden="false" customHeight="true" outlineLevel="0" collapsed="false">
      <c r="B22" s="61" t="n">
        <v>10</v>
      </c>
      <c r="C22" s="62" t="s">
        <v>84</v>
      </c>
      <c r="D22" s="62" t="s">
        <v>247</v>
      </c>
      <c r="E22" s="62" t="s">
        <v>85</v>
      </c>
      <c r="F22" s="62"/>
      <c r="G22" s="62"/>
      <c r="H22" s="62" t="s">
        <v>86</v>
      </c>
      <c r="I22" s="62" t="s">
        <v>40</v>
      </c>
      <c r="J22" s="62" t="s">
        <v>87</v>
      </c>
      <c r="K22" s="63" t="n">
        <v>1</v>
      </c>
      <c r="L22" s="64" t="n">
        <v>3.62</v>
      </c>
      <c r="M22" s="63" t="s">
        <v>216</v>
      </c>
      <c r="N22" s="65" t="s">
        <v>217</v>
      </c>
      <c r="O22" s="66" t="n">
        <f aca="false">IF(L22="","",IF(M22="INR",L22/$G$6,L22))</f>
        <v>3.62</v>
      </c>
      <c r="P22" s="67" t="n">
        <f aca="false">IF(L22="","",IF(M22="INR",L22,L22*$G$6))</f>
        <v>347.1218</v>
      </c>
      <c r="Q22" s="67" t="n">
        <f aca="false">IF(P22="",0,K22*P22)</f>
        <v>347.1218</v>
      </c>
      <c r="R22" s="66" t="n">
        <f aca="false">IF(O22="",0,K22*O22)</f>
        <v>3.62</v>
      </c>
      <c r="S22" s="61" t="n">
        <f aca="false">K22*$G$5</f>
        <v>15</v>
      </c>
      <c r="T22" s="67" t="n">
        <f aca="false">IF(P22="",0,S22*P22)</f>
        <v>5206.827</v>
      </c>
      <c r="U22" s="65" t="s">
        <v>40</v>
      </c>
      <c r="V22" s="63" t="s">
        <v>224</v>
      </c>
      <c r="W22" s="68" t="s">
        <v>220</v>
      </c>
      <c r="X22" s="62"/>
      <c r="Y22" s="62"/>
    </row>
    <row r="23" customFormat="false" ht="18.75" hidden="false" customHeight="true" outlineLevel="0" collapsed="false">
      <c r="B23" s="61" t="n">
        <v>11</v>
      </c>
      <c r="C23" s="62" t="s">
        <v>88</v>
      </c>
      <c r="D23" s="62" t="s">
        <v>248</v>
      </c>
      <c r="E23" s="62" t="s">
        <v>89</v>
      </c>
      <c r="F23" s="62"/>
      <c r="G23" s="62"/>
      <c r="H23" s="62" t="s">
        <v>90</v>
      </c>
      <c r="I23" s="62" t="s">
        <v>40</v>
      </c>
      <c r="J23" s="62" t="s">
        <v>91</v>
      </c>
      <c r="K23" s="63" t="n">
        <v>1</v>
      </c>
      <c r="L23" s="64" t="n">
        <v>1.29</v>
      </c>
      <c r="M23" s="63" t="s">
        <v>216</v>
      </c>
      <c r="N23" s="65" t="s">
        <v>217</v>
      </c>
      <c r="O23" s="66" t="n">
        <f aca="false">IF(L23="","",IF(M23="INR",L23/$G$6,L23))</f>
        <v>1.29</v>
      </c>
      <c r="P23" s="67" t="n">
        <f aca="false">IF(L23="","",IF(M23="INR",L23,L23*$G$6))</f>
        <v>123.6981</v>
      </c>
      <c r="Q23" s="67" t="n">
        <f aca="false">IF(P23="",0,K23*P23)</f>
        <v>123.6981</v>
      </c>
      <c r="R23" s="66" t="n">
        <f aca="false">IF(O23="",0,K23*O23)</f>
        <v>1.29</v>
      </c>
      <c r="S23" s="61" t="n">
        <f aca="false">K23*$G$5</f>
        <v>15</v>
      </c>
      <c r="T23" s="67" t="n">
        <f aca="false">IF(P23="",0,S23*P23)</f>
        <v>1855.4715</v>
      </c>
      <c r="U23" s="65" t="s">
        <v>40</v>
      </c>
      <c r="V23" s="63" t="s">
        <v>224</v>
      </c>
      <c r="W23" s="68" t="s">
        <v>220</v>
      </c>
      <c r="X23" s="62"/>
      <c r="Y23" s="62"/>
    </row>
    <row r="24" customFormat="false" ht="33.75" hidden="false" customHeight="true" outlineLevel="0" collapsed="false">
      <c r="B24" s="61" t="n">
        <v>12</v>
      </c>
      <c r="C24" s="62" t="s">
        <v>92</v>
      </c>
      <c r="D24" s="62" t="s">
        <v>249</v>
      </c>
      <c r="E24" s="62" t="s">
        <v>94</v>
      </c>
      <c r="F24" s="62"/>
      <c r="G24" s="62"/>
      <c r="H24" s="62" t="s">
        <v>95</v>
      </c>
      <c r="I24" s="62" t="s">
        <v>40</v>
      </c>
      <c r="J24" s="62" t="s">
        <v>96</v>
      </c>
      <c r="K24" s="63" t="n">
        <v>1</v>
      </c>
      <c r="L24" s="64" t="n">
        <v>1.81</v>
      </c>
      <c r="M24" s="63" t="s">
        <v>216</v>
      </c>
      <c r="N24" s="65" t="s">
        <v>217</v>
      </c>
      <c r="O24" s="66" t="n">
        <f aca="false">IF(L24="","",IF(M24="INR",L24/$G$6,L24))</f>
        <v>1.81</v>
      </c>
      <c r="P24" s="67" t="n">
        <f aca="false">IF(L24="","",IF(M24="INR",L24,L24*$G$6))</f>
        <v>173.5609</v>
      </c>
      <c r="Q24" s="67" t="n">
        <f aca="false">IF(P24="",0,K24*P24)</f>
        <v>173.5609</v>
      </c>
      <c r="R24" s="66" t="n">
        <f aca="false">IF(O24="",0,K24*O24)</f>
        <v>1.81</v>
      </c>
      <c r="S24" s="61" t="n">
        <f aca="false">K24*$G$5</f>
        <v>15</v>
      </c>
      <c r="T24" s="67" t="n">
        <f aca="false">IF(P24="",0,S24*P24)</f>
        <v>2603.4135</v>
      </c>
      <c r="U24" s="65" t="s">
        <v>40</v>
      </c>
      <c r="V24" s="63" t="s">
        <v>219</v>
      </c>
      <c r="W24" s="68" t="s">
        <v>220</v>
      </c>
      <c r="X24" s="62"/>
      <c r="Y24" s="62" t="s">
        <v>250</v>
      </c>
    </row>
    <row r="25" customFormat="false" ht="33.75" hidden="false" customHeight="true" outlineLevel="0" collapsed="false">
      <c r="B25" s="61" t="n">
        <v>13</v>
      </c>
      <c r="C25" s="62" t="s">
        <v>97</v>
      </c>
      <c r="D25" s="62" t="s">
        <v>251</v>
      </c>
      <c r="E25" s="62" t="s">
        <v>252</v>
      </c>
      <c r="F25" s="62"/>
      <c r="G25" s="62"/>
      <c r="H25" s="62" t="s">
        <v>100</v>
      </c>
      <c r="I25" s="62" t="s">
        <v>101</v>
      </c>
      <c r="J25" s="62" t="s">
        <v>97</v>
      </c>
      <c r="K25" s="63" t="n">
        <v>1</v>
      </c>
      <c r="L25" s="64" t="n">
        <v>0.1032</v>
      </c>
      <c r="M25" s="63" t="s">
        <v>216</v>
      </c>
      <c r="N25" s="65" t="s">
        <v>253</v>
      </c>
      <c r="O25" s="66" t="n">
        <f aca="false">IF(L25="","",IF(M25="INR",L25/$G$6,L25))</f>
        <v>0.1032</v>
      </c>
      <c r="P25" s="67" t="n">
        <f aca="false">IF(L25="","",IF(M25="INR",L25,L25*$G$6))</f>
        <v>9.895848</v>
      </c>
      <c r="Q25" s="67" t="n">
        <f aca="false">IF(P25="",0,K25*P25)</f>
        <v>9.895848</v>
      </c>
      <c r="R25" s="66" t="n">
        <f aca="false">IF(O25="",0,K25*O25)</f>
        <v>0.1032</v>
      </c>
      <c r="S25" s="61" t="n">
        <f aca="false">K25*$G$5</f>
        <v>15</v>
      </c>
      <c r="T25" s="67" t="n">
        <f aca="false">IF(P25="",0,S25*P25)</f>
        <v>148.43772</v>
      </c>
      <c r="U25" s="65" t="s">
        <v>254</v>
      </c>
      <c r="V25" s="63" t="s">
        <v>224</v>
      </c>
      <c r="W25" s="68" t="s">
        <v>220</v>
      </c>
      <c r="X25" s="69" t="s">
        <v>255</v>
      </c>
      <c r="Y25" s="62"/>
    </row>
    <row r="26" customFormat="false" ht="78.75" hidden="false" customHeight="true" outlineLevel="0" collapsed="false">
      <c r="B26" s="61" t="n">
        <v>14</v>
      </c>
      <c r="C26" s="62" t="s">
        <v>102</v>
      </c>
      <c r="D26" s="62" t="s">
        <v>256</v>
      </c>
      <c r="E26" s="62" t="s">
        <v>104</v>
      </c>
      <c r="F26" s="62"/>
      <c r="G26" s="62" t="s">
        <v>105</v>
      </c>
      <c r="H26" s="62" t="s">
        <v>106</v>
      </c>
      <c r="I26" s="62" t="s">
        <v>40</v>
      </c>
      <c r="J26" s="62" t="s">
        <v>107</v>
      </c>
      <c r="K26" s="63" t="n">
        <v>1</v>
      </c>
      <c r="L26" s="64" t="n">
        <v>1.2</v>
      </c>
      <c r="M26" s="63" t="s">
        <v>216</v>
      </c>
      <c r="N26" s="65" t="s">
        <v>257</v>
      </c>
      <c r="O26" s="66" t="n">
        <f aca="false">IF(L26="","",IF(M26="INR",L26/$G$6,L26))</f>
        <v>1.2</v>
      </c>
      <c r="P26" s="67" t="n">
        <f aca="false">IF(L26="","",IF(M26="INR",L26,L26*$G$6))</f>
        <v>115.068</v>
      </c>
      <c r="Q26" s="67" t="n">
        <f aca="false">IF(P26="",0,K26*P26)</f>
        <v>115.068</v>
      </c>
      <c r="R26" s="66" t="n">
        <f aca="false">IF(O26="",0,K26*O26)</f>
        <v>1.2</v>
      </c>
      <c r="S26" s="61" t="n">
        <f aca="false">K26*$G$5</f>
        <v>15</v>
      </c>
      <c r="T26" s="67" t="n">
        <f aca="false">IF(P26="",0,S26*P26)</f>
        <v>1726.02</v>
      </c>
      <c r="U26" s="65" t="s">
        <v>258</v>
      </c>
      <c r="V26" s="63" t="s">
        <v>259</v>
      </c>
      <c r="W26" s="68" t="s">
        <v>220</v>
      </c>
      <c r="X26" s="62"/>
      <c r="Y26" s="62" t="s">
        <v>260</v>
      </c>
    </row>
    <row r="27" customFormat="false" ht="18.75" hidden="false" customHeight="true" outlineLevel="0" collapsed="false">
      <c r="B27" s="61" t="n">
        <v>15</v>
      </c>
      <c r="C27" s="62" t="s">
        <v>108</v>
      </c>
      <c r="D27" s="62" t="s">
        <v>261</v>
      </c>
      <c r="E27" s="62" t="s">
        <v>109</v>
      </c>
      <c r="F27" s="62"/>
      <c r="G27" s="62"/>
      <c r="H27" s="62" t="s">
        <v>110</v>
      </c>
      <c r="I27" s="62" t="s">
        <v>40</v>
      </c>
      <c r="J27" s="62" t="s">
        <v>111</v>
      </c>
      <c r="K27" s="63" t="n">
        <v>1</v>
      </c>
      <c r="L27" s="64" t="n">
        <v>0.953</v>
      </c>
      <c r="M27" s="63" t="s">
        <v>216</v>
      </c>
      <c r="N27" s="65" t="s">
        <v>236</v>
      </c>
      <c r="O27" s="66" t="n">
        <f aca="false">IF(L27="","",IF(M27="INR",L27/$G$6,L27))</f>
        <v>0.953</v>
      </c>
      <c r="P27" s="67" t="n">
        <f aca="false">IF(L27="","",IF(M27="INR",L27,L27*$G$6))</f>
        <v>91.38317</v>
      </c>
      <c r="Q27" s="67" t="n">
        <f aca="false">IF(P27="",0,K27*P27)</f>
        <v>91.38317</v>
      </c>
      <c r="R27" s="66" t="n">
        <f aca="false">IF(O27="",0,K27*O27)</f>
        <v>0.953</v>
      </c>
      <c r="S27" s="61" t="n">
        <f aca="false">K27*$G$5</f>
        <v>15</v>
      </c>
      <c r="T27" s="67" t="n">
        <f aca="false">IF(P27="",0,S27*P27)</f>
        <v>1370.74755</v>
      </c>
      <c r="U27" s="65" t="s">
        <v>262</v>
      </c>
      <c r="V27" s="63" t="s">
        <v>224</v>
      </c>
      <c r="W27" s="68" t="s">
        <v>220</v>
      </c>
      <c r="X27" s="62"/>
      <c r="Y27" s="62" t="s">
        <v>263</v>
      </c>
    </row>
    <row r="28" customFormat="false" ht="48.75" hidden="false" customHeight="true" outlineLevel="0" collapsed="false">
      <c r="B28" s="61" t="n">
        <v>16</v>
      </c>
      <c r="C28" s="62" t="s">
        <v>114</v>
      </c>
      <c r="D28" s="62" t="s">
        <v>264</v>
      </c>
      <c r="E28" s="62" t="s">
        <v>116</v>
      </c>
      <c r="F28" s="62"/>
      <c r="G28" s="62"/>
      <c r="H28" s="62" t="s">
        <v>117</v>
      </c>
      <c r="I28" s="62"/>
      <c r="J28" s="62"/>
      <c r="K28" s="63" t="n">
        <v>1</v>
      </c>
      <c r="L28" s="64" t="n">
        <v>0.32</v>
      </c>
      <c r="M28" s="63" t="s">
        <v>216</v>
      </c>
      <c r="N28" s="65" t="s">
        <v>217</v>
      </c>
      <c r="O28" s="66" t="n">
        <f aca="false">IF(L28="","",IF(M28="INR",L28/$G$6,L28))</f>
        <v>0.32</v>
      </c>
      <c r="P28" s="67" t="n">
        <f aca="false">IF(L28="","",IF(M28="INR",L28,L28*$G$6))</f>
        <v>30.6848</v>
      </c>
      <c r="Q28" s="67" t="n">
        <f aca="false">IF(P28="",0,K28*P28)</f>
        <v>30.6848</v>
      </c>
      <c r="R28" s="66" t="n">
        <f aca="false">IF(O28="",0,K28*O28)</f>
        <v>0.32</v>
      </c>
      <c r="S28" s="61" t="n">
        <f aca="false">K28*$G$5</f>
        <v>15</v>
      </c>
      <c r="T28" s="67" t="n">
        <f aca="false">IF(P28="",0,S28*P28)</f>
        <v>460.272</v>
      </c>
      <c r="U28" s="65" t="s">
        <v>265</v>
      </c>
      <c r="V28" s="63" t="s">
        <v>259</v>
      </c>
      <c r="W28" s="68" t="s">
        <v>220</v>
      </c>
      <c r="X28" s="62"/>
      <c r="Y28" s="62" t="s">
        <v>266</v>
      </c>
    </row>
    <row r="29" customFormat="false" ht="33.75" hidden="false" customHeight="true" outlineLevel="0" collapsed="false">
      <c r="B29" s="61" t="n">
        <v>17</v>
      </c>
      <c r="C29" s="62" t="s">
        <v>118</v>
      </c>
      <c r="D29" s="62" t="s">
        <v>267</v>
      </c>
      <c r="E29" s="62" t="s">
        <v>120</v>
      </c>
      <c r="F29" s="62" t="s">
        <v>121</v>
      </c>
      <c r="G29" s="62" t="s">
        <v>32</v>
      </c>
      <c r="H29" s="62" t="s">
        <v>47</v>
      </c>
      <c r="I29" s="62" t="s">
        <v>40</v>
      </c>
      <c r="J29" s="62" t="s">
        <v>122</v>
      </c>
      <c r="K29" s="63" t="n">
        <v>2</v>
      </c>
      <c r="L29" s="64" t="n">
        <v>0.0249</v>
      </c>
      <c r="M29" s="63" t="s">
        <v>216</v>
      </c>
      <c r="N29" s="65" t="s">
        <v>217</v>
      </c>
      <c r="O29" s="66" t="n">
        <f aca="false">IF(L29="","",IF(M29="INR",L29/$G$6,L29))</f>
        <v>0.0249</v>
      </c>
      <c r="P29" s="67" t="n">
        <f aca="false">IF(L29="","",IF(M29="INR",L29,L29*$G$6))</f>
        <v>2.387661</v>
      </c>
      <c r="Q29" s="67" t="n">
        <f aca="false">IF(P29="",0,K29*P29)</f>
        <v>4.775322</v>
      </c>
      <c r="R29" s="66" t="n">
        <f aca="false">IF(O29="",0,K29*O29)</f>
        <v>0.0498</v>
      </c>
      <c r="S29" s="61" t="n">
        <f aca="false">K29*$G$5</f>
        <v>30</v>
      </c>
      <c r="T29" s="67" t="n">
        <f aca="false">IF(P29="",0,S29*P29)</f>
        <v>71.62983</v>
      </c>
      <c r="U29" s="65" t="s">
        <v>268</v>
      </c>
      <c r="V29" s="63" t="s">
        <v>259</v>
      </c>
      <c r="W29" s="62"/>
      <c r="X29" s="62"/>
      <c r="Y29" s="62" t="s">
        <v>269</v>
      </c>
    </row>
    <row r="30" customFormat="false" ht="18.75" hidden="false" customHeight="true" outlineLevel="0" collapsed="false">
      <c r="B30" s="61" t="n">
        <v>18</v>
      </c>
      <c r="C30" s="62" t="s">
        <v>123</v>
      </c>
      <c r="D30" s="62" t="s">
        <v>270</v>
      </c>
      <c r="E30" s="62" t="s">
        <v>125</v>
      </c>
      <c r="F30" s="62" t="s">
        <v>126</v>
      </c>
      <c r="G30" s="62" t="s">
        <v>46</v>
      </c>
      <c r="H30" s="62" t="s">
        <v>127</v>
      </c>
      <c r="I30" s="62"/>
      <c r="J30" s="62"/>
      <c r="K30" s="63" t="n">
        <v>1</v>
      </c>
      <c r="L30" s="64" t="n">
        <v>0.002</v>
      </c>
      <c r="M30" s="63" t="s">
        <v>216</v>
      </c>
      <c r="N30" s="65" t="s">
        <v>236</v>
      </c>
      <c r="O30" s="66" t="n">
        <f aca="false">IF(L30="","",IF(M30="INR",L30/$G$6,L30))</f>
        <v>0.002</v>
      </c>
      <c r="P30" s="67" t="n">
        <f aca="false">IF(L30="","",IF(M30="INR",L30,L30*$G$6))</f>
        <v>0.19178</v>
      </c>
      <c r="Q30" s="67" t="n">
        <f aca="false">IF(P30="",0,K30*P30)</f>
        <v>0.19178</v>
      </c>
      <c r="R30" s="66" t="n">
        <f aca="false">IF(O30="",0,K30*O30)</f>
        <v>0.002</v>
      </c>
      <c r="S30" s="61" t="n">
        <f aca="false">K30*$G$5</f>
        <v>15</v>
      </c>
      <c r="T30" s="67" t="n">
        <f aca="false">IF(P30="",0,S30*P30)</f>
        <v>2.8767</v>
      </c>
      <c r="U30" s="65" t="s">
        <v>271</v>
      </c>
      <c r="V30" s="63" t="s">
        <v>224</v>
      </c>
      <c r="W30" s="68" t="s">
        <v>220</v>
      </c>
      <c r="X30" s="62"/>
      <c r="Y30" s="62" t="s">
        <v>272</v>
      </c>
    </row>
    <row r="31" customFormat="false" ht="33.75" hidden="false" customHeight="true" outlineLevel="0" collapsed="false">
      <c r="B31" s="61" t="n">
        <v>19</v>
      </c>
      <c r="C31" s="62" t="s">
        <v>128</v>
      </c>
      <c r="D31" s="62" t="s">
        <v>273</v>
      </c>
      <c r="E31" s="62" t="s">
        <v>274</v>
      </c>
      <c r="F31" s="62" t="s">
        <v>131</v>
      </c>
      <c r="G31" s="62" t="s">
        <v>46</v>
      </c>
      <c r="H31" s="62" t="s">
        <v>132</v>
      </c>
      <c r="I31" s="62" t="s">
        <v>40</v>
      </c>
      <c r="J31" s="62" t="s">
        <v>133</v>
      </c>
      <c r="K31" s="63" t="n">
        <v>2</v>
      </c>
      <c r="L31" s="64" t="n">
        <v>0.1082</v>
      </c>
      <c r="M31" s="63" t="s">
        <v>216</v>
      </c>
      <c r="N31" s="65" t="s">
        <v>257</v>
      </c>
      <c r="O31" s="66" t="n">
        <f aca="false">IF(L31="","",IF(M31="INR",L31/$G$6,L31))</f>
        <v>0.1082</v>
      </c>
      <c r="P31" s="67" t="n">
        <f aca="false">IF(L31="","",IF(M31="INR",L31,L31*$G$6))</f>
        <v>10.375298</v>
      </c>
      <c r="Q31" s="67" t="n">
        <f aca="false">IF(P31="",0,K31*P31)</f>
        <v>20.750596</v>
      </c>
      <c r="R31" s="66" t="n">
        <f aca="false">IF(O31="",0,K31*O31)</f>
        <v>0.2164</v>
      </c>
      <c r="S31" s="61" t="n">
        <f aca="false">K31*$G$5</f>
        <v>30</v>
      </c>
      <c r="T31" s="67" t="n">
        <f aca="false">IF(P31="",0,S31*P31)</f>
        <v>311.25894</v>
      </c>
      <c r="U31" s="65" t="s">
        <v>275</v>
      </c>
      <c r="V31" s="63" t="s">
        <v>224</v>
      </c>
      <c r="W31" s="68" t="s">
        <v>220</v>
      </c>
      <c r="X31" s="69" t="s">
        <v>276</v>
      </c>
      <c r="Y31" s="62"/>
    </row>
    <row r="32" customFormat="false" ht="33.75" hidden="false" customHeight="true" outlineLevel="0" collapsed="false">
      <c r="B32" s="61" t="n">
        <v>20</v>
      </c>
      <c r="C32" s="62" t="s">
        <v>134</v>
      </c>
      <c r="D32" s="62" t="s">
        <v>277</v>
      </c>
      <c r="E32" s="62" t="s">
        <v>136</v>
      </c>
      <c r="F32" s="62" t="s">
        <v>137</v>
      </c>
      <c r="G32" s="62" t="s">
        <v>46</v>
      </c>
      <c r="H32" s="62" t="s">
        <v>47</v>
      </c>
      <c r="I32" s="62" t="s">
        <v>40</v>
      </c>
      <c r="J32" s="62" t="s">
        <v>138</v>
      </c>
      <c r="K32" s="63" t="n">
        <v>7</v>
      </c>
      <c r="L32" s="64" t="n">
        <v>0.09</v>
      </c>
      <c r="M32" s="63" t="s">
        <v>216</v>
      </c>
      <c r="N32" s="65" t="s">
        <v>217</v>
      </c>
      <c r="O32" s="66" t="n">
        <f aca="false">IF(L32="","",IF(M32="INR",L32/$G$6,L32))</f>
        <v>0.09</v>
      </c>
      <c r="P32" s="67" t="n">
        <f aca="false">IF(L32="","",IF(M32="INR",L32,L32*$G$6))</f>
        <v>8.6301</v>
      </c>
      <c r="Q32" s="67" t="n">
        <f aca="false">IF(P32="",0,K32*P32)</f>
        <v>60.4107</v>
      </c>
      <c r="R32" s="66" t="n">
        <f aca="false">IF(O32="",0,K32*O32)</f>
        <v>0.63</v>
      </c>
      <c r="S32" s="61" t="n">
        <f aca="false">K32*$G$5</f>
        <v>105</v>
      </c>
      <c r="T32" s="67" t="n">
        <f aca="false">IF(P32="",0,S32*P32)</f>
        <v>906.1605</v>
      </c>
      <c r="U32" s="65" t="s">
        <v>278</v>
      </c>
      <c r="V32" s="63" t="s">
        <v>219</v>
      </c>
      <c r="W32" s="68" t="s">
        <v>220</v>
      </c>
      <c r="X32" s="62"/>
      <c r="Y32" s="62"/>
    </row>
    <row r="33" customFormat="false" ht="33.75" hidden="false" customHeight="true" outlineLevel="0" collapsed="false">
      <c r="B33" s="61" t="n">
        <v>21</v>
      </c>
      <c r="C33" s="62" t="s">
        <v>139</v>
      </c>
      <c r="D33" s="62" t="s">
        <v>279</v>
      </c>
      <c r="E33" s="62" t="s">
        <v>141</v>
      </c>
      <c r="F33" s="62" t="s">
        <v>142</v>
      </c>
      <c r="G33" s="62" t="s">
        <v>32</v>
      </c>
      <c r="H33" s="62" t="s">
        <v>143</v>
      </c>
      <c r="I33" s="62" t="s">
        <v>40</v>
      </c>
      <c r="J33" s="62" t="s">
        <v>144</v>
      </c>
      <c r="K33" s="63" t="n">
        <v>3</v>
      </c>
      <c r="L33" s="64" t="n">
        <v>0.0163</v>
      </c>
      <c r="M33" s="63" t="s">
        <v>216</v>
      </c>
      <c r="N33" s="65" t="s">
        <v>280</v>
      </c>
      <c r="O33" s="66" t="n">
        <f aca="false">IF(L33="","",IF(M33="INR",L33/$G$6,L33))</f>
        <v>0.0163</v>
      </c>
      <c r="P33" s="67" t="n">
        <f aca="false">IF(L33="","",IF(M33="INR",L33,L33*$G$6))</f>
        <v>1.563007</v>
      </c>
      <c r="Q33" s="67" t="n">
        <f aca="false">IF(P33="",0,K33*P33)</f>
        <v>4.689021</v>
      </c>
      <c r="R33" s="66" t="n">
        <f aca="false">IF(O33="",0,K33*O33)</f>
        <v>0.0489</v>
      </c>
      <c r="S33" s="61" t="n">
        <f aca="false">K33*$G$5</f>
        <v>45</v>
      </c>
      <c r="T33" s="67" t="n">
        <f aca="false">IF(P33="",0,S33*P33)</f>
        <v>70.335315</v>
      </c>
      <c r="U33" s="65" t="s">
        <v>34</v>
      </c>
      <c r="V33" s="63" t="s">
        <v>219</v>
      </c>
      <c r="W33" s="68" t="s">
        <v>220</v>
      </c>
      <c r="X33" s="62"/>
      <c r="Y33" s="62"/>
    </row>
    <row r="34" customFormat="false" ht="33.75" hidden="false" customHeight="true" outlineLevel="0" collapsed="false">
      <c r="B34" s="61" t="n">
        <v>22</v>
      </c>
      <c r="C34" s="62" t="s">
        <v>145</v>
      </c>
      <c r="D34" s="62" t="s">
        <v>281</v>
      </c>
      <c r="E34" s="62" t="s">
        <v>147</v>
      </c>
      <c r="F34" s="62" t="s">
        <v>148</v>
      </c>
      <c r="G34" s="62" t="s">
        <v>32</v>
      </c>
      <c r="H34" s="62" t="s">
        <v>47</v>
      </c>
      <c r="I34" s="62" t="s">
        <v>40</v>
      </c>
      <c r="J34" s="62" t="s">
        <v>149</v>
      </c>
      <c r="K34" s="63" t="n">
        <v>2</v>
      </c>
      <c r="L34" s="64" t="n">
        <v>0.0249</v>
      </c>
      <c r="M34" s="63" t="s">
        <v>216</v>
      </c>
      <c r="N34" s="65" t="s">
        <v>282</v>
      </c>
      <c r="O34" s="66" t="n">
        <f aca="false">IF(L34="","",IF(M34="INR",L34/$G$6,L34))</f>
        <v>0.0249</v>
      </c>
      <c r="P34" s="67" t="n">
        <f aca="false">IF(L34="","",IF(M34="INR",L34,L34*$G$6))</f>
        <v>2.387661</v>
      </c>
      <c r="Q34" s="67" t="n">
        <f aca="false">IF(P34="",0,K34*P34)</f>
        <v>4.775322</v>
      </c>
      <c r="R34" s="66" t="n">
        <f aca="false">IF(O34="",0,K34*O34)</f>
        <v>0.0498</v>
      </c>
      <c r="S34" s="61" t="n">
        <f aca="false">K34*$G$5</f>
        <v>30</v>
      </c>
      <c r="T34" s="67" t="n">
        <f aca="false">IF(P34="",0,S34*P34)</f>
        <v>71.62983</v>
      </c>
      <c r="U34" s="65" t="s">
        <v>283</v>
      </c>
      <c r="V34" s="63" t="s">
        <v>259</v>
      </c>
      <c r="W34" s="62"/>
      <c r="X34" s="62"/>
      <c r="Y34" s="62"/>
    </row>
    <row r="35" customFormat="false" ht="33.75" hidden="false" customHeight="true" outlineLevel="0" collapsed="false">
      <c r="B35" s="61" t="n">
        <v>23</v>
      </c>
      <c r="C35" s="62" t="s">
        <v>150</v>
      </c>
      <c r="D35" s="62" t="s">
        <v>284</v>
      </c>
      <c r="E35" s="62" t="s">
        <v>151</v>
      </c>
      <c r="F35" s="62"/>
      <c r="G35" s="62"/>
      <c r="H35" s="62" t="s">
        <v>110</v>
      </c>
      <c r="I35" s="62" t="s">
        <v>40</v>
      </c>
      <c r="J35" s="62" t="s">
        <v>152</v>
      </c>
      <c r="K35" s="63" t="n">
        <v>1</v>
      </c>
      <c r="L35" s="64" t="n">
        <v>0.17</v>
      </c>
      <c r="M35" s="63" t="s">
        <v>216</v>
      </c>
      <c r="N35" s="65" t="s">
        <v>285</v>
      </c>
      <c r="O35" s="66" t="n">
        <f aca="false">IF(L35="","",IF(M35="INR",L35/$G$6,L35))</f>
        <v>0.17</v>
      </c>
      <c r="P35" s="67" t="n">
        <f aca="false">IF(L35="","",IF(M35="INR",L35,L35*$G$6))</f>
        <v>16.3013</v>
      </c>
      <c r="Q35" s="67" t="n">
        <f aca="false">IF(P35="",0,K35*P35)</f>
        <v>16.3013</v>
      </c>
      <c r="R35" s="66" t="n">
        <f aca="false">IF(O35="",0,K35*O35)</f>
        <v>0.17</v>
      </c>
      <c r="S35" s="61" t="n">
        <f aca="false">K35*$G$5</f>
        <v>15</v>
      </c>
      <c r="T35" s="67" t="n">
        <f aca="false">IF(P35="",0,S35*P35)</f>
        <v>244.5195</v>
      </c>
      <c r="U35" s="65" t="s">
        <v>286</v>
      </c>
      <c r="V35" s="63" t="s">
        <v>259</v>
      </c>
      <c r="W35" s="62"/>
      <c r="X35" s="62"/>
      <c r="Y35" s="62"/>
    </row>
    <row r="36" customFormat="false" ht="18.75" hidden="false" customHeight="true" outlineLevel="0" collapsed="false">
      <c r="B36" s="61" t="n">
        <v>24</v>
      </c>
      <c r="C36" s="62" t="s">
        <v>153</v>
      </c>
      <c r="D36" s="62" t="s">
        <v>287</v>
      </c>
      <c r="E36" s="62" t="s">
        <v>154</v>
      </c>
      <c r="F36" s="62"/>
      <c r="G36" s="62"/>
      <c r="H36" s="62" t="s">
        <v>110</v>
      </c>
      <c r="I36" s="62" t="s">
        <v>40</v>
      </c>
      <c r="J36" s="62" t="s">
        <v>155</v>
      </c>
      <c r="K36" s="63" t="n">
        <v>4</v>
      </c>
      <c r="L36" s="64" t="n">
        <v>0.2</v>
      </c>
      <c r="M36" s="63" t="s">
        <v>216</v>
      </c>
      <c r="N36" s="65" t="s">
        <v>217</v>
      </c>
      <c r="O36" s="66" t="n">
        <f aca="false">IF(L36="","",IF(M36="INR",L36/$G$6,L36))</f>
        <v>0.2</v>
      </c>
      <c r="P36" s="67" t="n">
        <f aca="false">IF(L36="","",IF(M36="INR",L36,L36*$G$6))</f>
        <v>19.178</v>
      </c>
      <c r="Q36" s="67" t="n">
        <f aca="false">IF(P36="",0,K36*P36)</f>
        <v>76.712</v>
      </c>
      <c r="R36" s="66" t="n">
        <f aca="false">IF(O36="",0,K36*O36)</f>
        <v>0.8</v>
      </c>
      <c r="S36" s="61" t="n">
        <f aca="false">K36*$G$5</f>
        <v>60</v>
      </c>
      <c r="T36" s="67" t="n">
        <f aca="false">IF(P36="",0,S36*P36)</f>
        <v>1150.68</v>
      </c>
      <c r="U36" s="65" t="s">
        <v>40</v>
      </c>
      <c r="V36" s="63" t="s">
        <v>224</v>
      </c>
      <c r="W36" s="68" t="s">
        <v>220</v>
      </c>
      <c r="X36" s="62"/>
      <c r="Y36" s="62"/>
    </row>
    <row r="37" customFormat="false" ht="33.75" hidden="false" customHeight="true" outlineLevel="0" collapsed="false">
      <c r="B37" s="61" t="n">
        <v>25</v>
      </c>
      <c r="C37" s="62" t="s">
        <v>156</v>
      </c>
      <c r="D37" s="62" t="s">
        <v>288</v>
      </c>
      <c r="E37" s="62" t="s">
        <v>157</v>
      </c>
      <c r="F37" s="62"/>
      <c r="G37" s="62"/>
      <c r="H37" s="62" t="s">
        <v>95</v>
      </c>
      <c r="I37" s="62" t="s">
        <v>40</v>
      </c>
      <c r="J37" s="62" t="s">
        <v>158</v>
      </c>
      <c r="K37" s="63" t="n">
        <v>1</v>
      </c>
      <c r="L37" s="70"/>
      <c r="M37" s="63" t="s">
        <v>216</v>
      </c>
      <c r="N37" s="65"/>
      <c r="O37" s="66" t="str">
        <f aca="false">IF(L37="","",IF(M37="INR",L37/$G$6,L37))</f>
        <v/>
      </c>
      <c r="P37" s="67" t="str">
        <f aca="false">IF(L37="","",IF(M37="INR",L37,L37*$G$6))</f>
        <v/>
      </c>
      <c r="Q37" s="67" t="n">
        <f aca="false">IF(P37="",0,K37*P37)</f>
        <v>0</v>
      </c>
      <c r="R37" s="66" t="n">
        <f aca="false">IF(O37="",0,K37*O37)</f>
        <v>0</v>
      </c>
      <c r="S37" s="61" t="n">
        <f aca="false">K37*$G$5</f>
        <v>15</v>
      </c>
      <c r="T37" s="67" t="n">
        <f aca="false">IF(P37="",0,S37*P37)</f>
        <v>0</v>
      </c>
      <c r="U37" s="65"/>
      <c r="V37" s="63"/>
      <c r="W37" s="62"/>
      <c r="X37" s="62"/>
      <c r="Y37" s="62" t="s">
        <v>289</v>
      </c>
    </row>
    <row r="38" customFormat="false" ht="48.75" hidden="false" customHeight="true" outlineLevel="0" collapsed="false">
      <c r="B38" s="61" t="n">
        <v>26</v>
      </c>
      <c r="C38" s="62" t="s">
        <v>159</v>
      </c>
      <c r="D38" s="62" t="s">
        <v>290</v>
      </c>
      <c r="E38" s="62" t="s">
        <v>160</v>
      </c>
      <c r="F38" s="62"/>
      <c r="G38" s="62"/>
      <c r="H38" s="62" t="s">
        <v>161</v>
      </c>
      <c r="I38" s="62" t="s">
        <v>40</v>
      </c>
      <c r="J38" s="62" t="s">
        <v>162</v>
      </c>
      <c r="K38" s="63" t="n">
        <v>1</v>
      </c>
      <c r="L38" s="64" t="n">
        <v>6.76</v>
      </c>
      <c r="M38" s="63" t="s">
        <v>216</v>
      </c>
      <c r="N38" s="65" t="s">
        <v>217</v>
      </c>
      <c r="O38" s="66" t="n">
        <f aca="false">IF(L38="","",IF(M38="INR",L38/$G$6,L38))</f>
        <v>6.76</v>
      </c>
      <c r="P38" s="67" t="n">
        <f aca="false">IF(L38="","",IF(M38="INR",L38,L38*$G$6))</f>
        <v>648.2164</v>
      </c>
      <c r="Q38" s="67" t="n">
        <f aca="false">IF(P38="",0,K38*P38)</f>
        <v>648.2164</v>
      </c>
      <c r="R38" s="66" t="n">
        <f aca="false">IF(O38="",0,K38*O38)</f>
        <v>6.76</v>
      </c>
      <c r="S38" s="61" t="n">
        <f aca="false">K38*$G$5</f>
        <v>15</v>
      </c>
      <c r="T38" s="67" t="n">
        <f aca="false">IF(P38="",0,S38*P38)</f>
        <v>9723.246</v>
      </c>
      <c r="U38" s="65" t="s">
        <v>40</v>
      </c>
      <c r="V38" s="63" t="s">
        <v>224</v>
      </c>
      <c r="W38" s="68" t="s">
        <v>220</v>
      </c>
      <c r="X38" s="62"/>
      <c r="Y38" s="62" t="s">
        <v>291</v>
      </c>
    </row>
    <row r="39" customFormat="false" ht="48.75" hidden="false" customHeight="true" outlineLevel="0" collapsed="false">
      <c r="B39" s="61" t="n">
        <v>27</v>
      </c>
      <c r="C39" s="62" t="s">
        <v>167</v>
      </c>
      <c r="D39" s="62" t="s">
        <v>292</v>
      </c>
      <c r="E39" s="62" t="s">
        <v>169</v>
      </c>
      <c r="F39" s="62"/>
      <c r="G39" s="62"/>
      <c r="H39" s="62"/>
      <c r="I39" s="62"/>
      <c r="J39" s="62"/>
      <c r="K39" s="63" t="n">
        <v>1</v>
      </c>
      <c r="L39" s="64" t="n">
        <v>108</v>
      </c>
      <c r="M39" s="63" t="s">
        <v>293</v>
      </c>
      <c r="N39" s="65" t="s">
        <v>217</v>
      </c>
      <c r="O39" s="66" t="n">
        <f aca="false">IF(L39="","",IF(M39="INR",L39/$G$6,L39))</f>
        <v>1.12629054124518</v>
      </c>
      <c r="P39" s="67" t="n">
        <f aca="false">IF(L39="","",IF(M39="INR",L39,L39*$G$6))</f>
        <v>108</v>
      </c>
      <c r="Q39" s="67" t="n">
        <f aca="false">IF(P39="",0,K39*P39)</f>
        <v>108</v>
      </c>
      <c r="R39" s="66" t="n">
        <f aca="false">IF(O39="",0,K39*O39)</f>
        <v>1.12629054124518</v>
      </c>
      <c r="S39" s="61" t="n">
        <f aca="false">K39*$G$5</f>
        <v>15</v>
      </c>
      <c r="T39" s="67" t="n">
        <f aca="false">IF(P39="",0,S39*P39)</f>
        <v>1620</v>
      </c>
      <c r="U39" s="65" t="s">
        <v>294</v>
      </c>
      <c r="V39" s="63" t="s">
        <v>219</v>
      </c>
      <c r="W39" s="68" t="s">
        <v>220</v>
      </c>
      <c r="X39" s="62"/>
      <c r="Y39" s="62" t="s">
        <v>295</v>
      </c>
    </row>
    <row r="40" customFormat="false" ht="33.75" hidden="false" customHeight="true" outlineLevel="0" collapsed="false">
      <c r="B40" s="61" t="n">
        <v>28</v>
      </c>
      <c r="C40" s="62" t="s">
        <v>170</v>
      </c>
      <c r="D40" s="62" t="s">
        <v>296</v>
      </c>
      <c r="E40" s="62" t="s">
        <v>172</v>
      </c>
      <c r="F40" s="62"/>
      <c r="G40" s="62" t="s">
        <v>173</v>
      </c>
      <c r="H40" s="62" t="s">
        <v>174</v>
      </c>
      <c r="I40" s="62" t="s">
        <v>40</v>
      </c>
      <c r="J40" s="62" t="s">
        <v>175</v>
      </c>
      <c r="K40" s="63" t="n">
        <v>1</v>
      </c>
      <c r="L40" s="64" t="n">
        <v>1.14</v>
      </c>
      <c r="M40" s="63" t="s">
        <v>216</v>
      </c>
      <c r="N40" s="65" t="s">
        <v>217</v>
      </c>
      <c r="O40" s="66" t="n">
        <f aca="false">IF(L40="","",IF(M40="INR",L40/$G$6,L40))</f>
        <v>1.14</v>
      </c>
      <c r="P40" s="67" t="n">
        <f aca="false">IF(L40="","",IF(M40="INR",L40,L40*$G$6))</f>
        <v>109.3146</v>
      </c>
      <c r="Q40" s="67" t="n">
        <f aca="false">IF(P40="",0,K40*P40)</f>
        <v>109.3146</v>
      </c>
      <c r="R40" s="66" t="n">
        <f aca="false">IF(O40="",0,K40*O40)</f>
        <v>1.14</v>
      </c>
      <c r="S40" s="61" t="n">
        <f aca="false">K40*$G$5</f>
        <v>15</v>
      </c>
      <c r="T40" s="67" t="n">
        <f aca="false">IF(P40="",0,S40*P40)</f>
        <v>1639.719</v>
      </c>
      <c r="U40" s="65" t="s">
        <v>40</v>
      </c>
      <c r="V40" s="63" t="s">
        <v>219</v>
      </c>
      <c r="W40" s="68" t="s">
        <v>220</v>
      </c>
      <c r="X40" s="62"/>
      <c r="Y40" s="62"/>
    </row>
    <row r="41" customFormat="false" ht="15" hidden="false" customHeight="false" outlineLevel="0" collapsed="false">
      <c r="J41" s="71" t="s">
        <v>297</v>
      </c>
      <c r="K41" s="72" t="n">
        <f aca="false">SUM(K13:K40)</f>
        <v>58</v>
      </c>
      <c r="Q41" s="73" t="n">
        <f aca="false">SUM(Q13:Q40)</f>
        <v>3938.680843</v>
      </c>
      <c r="R41" s="74" t="n">
        <f aca="false">SUM(R13:R40)</f>
        <v>41.0749905412452</v>
      </c>
      <c r="S41" s="72" t="n">
        <f aca="false">SUM(S13:S40)</f>
        <v>870</v>
      </c>
      <c r="T41" s="75" t="n">
        <f aca="false">SUM(T13:T40)</f>
        <v>59080.212645</v>
      </c>
    </row>
    <row r="44" customFormat="false" ht="15" hidden="false" customHeight="false" outlineLevel="0" collapsed="false">
      <c r="B44" s="76" t="s">
        <v>214</v>
      </c>
    </row>
    <row r="45" customFormat="false" ht="30" hidden="false" customHeight="true" outlineLevel="0" collapsed="false">
      <c r="B45" s="77" t="s">
        <v>298</v>
      </c>
      <c r="C45" s="77"/>
      <c r="D45" s="77"/>
      <c r="E45" s="77"/>
      <c r="F45" s="77"/>
      <c r="G45" s="77"/>
      <c r="H45" s="77"/>
      <c r="I45" s="77"/>
      <c r="J45" s="77"/>
    </row>
    <row r="46" customFormat="false" ht="30" hidden="false" customHeight="true" outlineLevel="0" collapsed="false">
      <c r="B46" s="77" t="s">
        <v>299</v>
      </c>
      <c r="C46" s="77"/>
      <c r="D46" s="77"/>
      <c r="E46" s="77"/>
      <c r="F46" s="77"/>
      <c r="G46" s="77"/>
      <c r="H46" s="77"/>
      <c r="I46" s="77"/>
      <c r="J46" s="77"/>
    </row>
    <row r="47" customFormat="false" ht="30" hidden="false" customHeight="true" outlineLevel="0" collapsed="false">
      <c r="B47" s="77" t="s">
        <v>300</v>
      </c>
      <c r="C47" s="77"/>
      <c r="D47" s="77"/>
      <c r="E47" s="77"/>
      <c r="F47" s="77"/>
      <c r="G47" s="77"/>
      <c r="H47" s="77"/>
      <c r="I47" s="77"/>
      <c r="J47" s="77"/>
    </row>
    <row r="48" customFormat="false" ht="30" hidden="false" customHeight="true" outlineLevel="0" collapsed="false">
      <c r="B48" s="77" t="s">
        <v>301</v>
      </c>
      <c r="C48" s="77"/>
      <c r="D48" s="77"/>
      <c r="E48" s="77"/>
      <c r="F48" s="77"/>
      <c r="G48" s="77"/>
      <c r="H48" s="77"/>
      <c r="I48" s="77"/>
      <c r="J48" s="77"/>
    </row>
    <row r="49" customFormat="false" ht="30" hidden="false" customHeight="true" outlineLevel="0" collapsed="false">
      <c r="B49" s="77" t="s">
        <v>302</v>
      </c>
      <c r="C49" s="77"/>
      <c r="D49" s="77"/>
      <c r="E49" s="77"/>
      <c r="F49" s="77"/>
      <c r="G49" s="77"/>
      <c r="H49" s="77"/>
      <c r="I49" s="77"/>
      <c r="J49" s="77"/>
    </row>
    <row r="50" customFormat="false" ht="30" hidden="false" customHeight="true" outlineLevel="0" collapsed="false">
      <c r="B50" s="77" t="s">
        <v>303</v>
      </c>
      <c r="C50" s="77"/>
      <c r="D50" s="77"/>
      <c r="E50" s="77"/>
      <c r="F50" s="77"/>
      <c r="G50" s="77"/>
      <c r="H50" s="77"/>
      <c r="I50" s="77"/>
      <c r="J50" s="77"/>
    </row>
    <row r="51" customFormat="false" ht="30" hidden="false" customHeight="true" outlineLevel="0" collapsed="false">
      <c r="B51" s="77" t="s">
        <v>304</v>
      </c>
      <c r="C51" s="77"/>
      <c r="D51" s="77"/>
      <c r="E51" s="77"/>
      <c r="F51" s="77"/>
      <c r="G51" s="77"/>
      <c r="H51" s="77"/>
      <c r="I51" s="77"/>
      <c r="J51" s="77"/>
    </row>
  </sheetData>
  <autoFilter ref="B12:Y40"/>
  <mergeCells count="7">
    <mergeCell ref="B45:J45"/>
    <mergeCell ref="B46:J46"/>
    <mergeCell ref="B47:J47"/>
    <mergeCell ref="B48:J48"/>
    <mergeCell ref="B49:J49"/>
    <mergeCell ref="B50:J50"/>
    <mergeCell ref="B51:J51"/>
  </mergeCells>
  <hyperlinks>
    <hyperlink ref="W13" r:id="rId2" display="open"/>
    <hyperlink ref="W14" r:id="rId3" display="open"/>
    <hyperlink ref="W15" r:id="rId4" display="open"/>
    <hyperlink ref="W16" r:id="rId5" display="open"/>
    <hyperlink ref="W17" r:id="rId6" display="open"/>
    <hyperlink ref="W18" r:id="rId7" display="open"/>
    <hyperlink ref="W19" r:id="rId8" display="open"/>
    <hyperlink ref="W20" r:id="rId9" display="open"/>
    <hyperlink ref="W21" r:id="rId10" display="open"/>
    <hyperlink ref="W22" r:id="rId11" display="open"/>
    <hyperlink ref="W23" r:id="rId12" display="open"/>
    <hyperlink ref="W24" r:id="rId13" display="open"/>
    <hyperlink ref="W25" r:id="rId14" display="open"/>
    <hyperlink ref="W26" r:id="rId15" display="open"/>
    <hyperlink ref="W27" r:id="rId16" display="open"/>
    <hyperlink ref="W28" r:id="rId17" display="open"/>
    <hyperlink ref="W30" r:id="rId18" display="open"/>
    <hyperlink ref="W31" r:id="rId19" display="open"/>
    <hyperlink ref="W32" r:id="rId20" display="open"/>
    <hyperlink ref="W33" r:id="rId21" display="open"/>
    <hyperlink ref="W36" r:id="rId22" display="open"/>
    <hyperlink ref="W38" r:id="rId23" display="open"/>
    <hyperlink ref="W39" r:id="rId24" display="open"/>
    <hyperlink ref="W40" r:id="rId25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6"/>
  <legacy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8" min="8" style="0" width="38"/>
  </cols>
  <sheetData>
    <row r="2" customFormat="false" ht="22.05" hidden="false" customHeight="false" outlineLevel="0" collapsed="false">
      <c r="B2" s="78" t="s">
        <v>305</v>
      </c>
    </row>
    <row r="3" customFormat="false" ht="15" hidden="false" customHeight="false" outlineLevel="0" collapsed="false">
      <c r="B3" s="79" t="s">
        <v>306</v>
      </c>
    </row>
    <row r="5" customFormat="false" ht="28.35" hidden="false" customHeight="false" outlineLevel="0" collapsed="false">
      <c r="B5" s="60" t="s">
        <v>14</v>
      </c>
      <c r="C5" s="60" t="s">
        <v>198</v>
      </c>
      <c r="D5" s="60" t="s">
        <v>307</v>
      </c>
      <c r="E5" s="60" t="s">
        <v>308</v>
      </c>
      <c r="F5" s="60" t="s">
        <v>309</v>
      </c>
      <c r="G5" s="60" t="s">
        <v>310</v>
      </c>
      <c r="H5" s="60" t="s">
        <v>311</v>
      </c>
    </row>
    <row r="6" customFormat="false" ht="15" hidden="false" customHeight="false" outlineLevel="0" collapsed="false">
      <c r="B6" s="62" t="s">
        <v>113</v>
      </c>
      <c r="C6" s="62" t="s">
        <v>112</v>
      </c>
      <c r="D6" s="62" t="s">
        <v>312</v>
      </c>
      <c r="E6" s="80" t="n">
        <v>1</v>
      </c>
      <c r="F6" s="62" t="s">
        <v>313</v>
      </c>
      <c r="G6" s="62" t="s">
        <v>314</v>
      </c>
      <c r="H6" s="62" t="s">
        <v>315</v>
      </c>
    </row>
    <row r="7" customFormat="false" ht="15" hidden="false" customHeight="false" outlineLevel="0" collapsed="false">
      <c r="B7" s="62" t="s">
        <v>316</v>
      </c>
      <c r="C7" s="62" t="s">
        <v>35</v>
      </c>
      <c r="D7" s="62" t="s">
        <v>317</v>
      </c>
      <c r="E7" s="80" t="n">
        <v>1</v>
      </c>
      <c r="F7" s="62" t="s">
        <v>313</v>
      </c>
      <c r="G7" s="62" t="s">
        <v>318</v>
      </c>
      <c r="H7" s="62" t="s">
        <v>319</v>
      </c>
    </row>
    <row r="8" customFormat="false" ht="15" hidden="false" customHeight="false" outlineLevel="0" collapsed="false">
      <c r="B8" s="62" t="s">
        <v>165</v>
      </c>
      <c r="C8" s="62" t="s">
        <v>163</v>
      </c>
      <c r="D8" s="62" t="s">
        <v>320</v>
      </c>
      <c r="E8" s="80" t="n">
        <v>1</v>
      </c>
      <c r="F8" s="62" t="s">
        <v>321</v>
      </c>
      <c r="G8" s="62" t="s">
        <v>322</v>
      </c>
      <c r="H8" s="62" t="s">
        <v>315</v>
      </c>
    </row>
    <row r="9" customFormat="false" ht="15" hidden="false" customHeight="false" outlineLevel="0" collapsed="false">
      <c r="B9" s="62" t="s">
        <v>323</v>
      </c>
      <c r="C9" s="62" t="s">
        <v>28</v>
      </c>
      <c r="D9" s="62" t="s">
        <v>324</v>
      </c>
      <c r="E9" s="80" t="n">
        <v>1</v>
      </c>
      <c r="F9" s="62" t="s">
        <v>321</v>
      </c>
      <c r="G9" s="62" t="s">
        <v>325</v>
      </c>
      <c r="H9" s="62" t="s">
        <v>326</v>
      </c>
    </row>
    <row r="10" customFormat="false" ht="15" hidden="false" customHeight="false" outlineLevel="0" collapsed="false">
      <c r="B10" s="62" t="s">
        <v>327</v>
      </c>
      <c r="C10" s="62" t="s">
        <v>42</v>
      </c>
      <c r="D10" s="62" t="s">
        <v>328</v>
      </c>
      <c r="E10" s="80" t="n">
        <v>1</v>
      </c>
      <c r="F10" s="62" t="s">
        <v>321</v>
      </c>
      <c r="G10" s="62" t="s">
        <v>329</v>
      </c>
      <c r="H10" s="62" t="s">
        <v>330</v>
      </c>
    </row>
    <row r="11" customFormat="false" ht="15" hidden="false" customHeight="false" outlineLevel="0" collapsed="false">
      <c r="B11" s="62" t="s">
        <v>331</v>
      </c>
      <c r="C11" s="62" t="s">
        <v>128</v>
      </c>
      <c r="D11" s="62" t="s">
        <v>332</v>
      </c>
      <c r="E11" s="80" t="n">
        <v>1</v>
      </c>
      <c r="F11" s="62" t="s">
        <v>321</v>
      </c>
      <c r="G11" s="62" t="s">
        <v>333</v>
      </c>
      <c r="H11" s="62" t="s">
        <v>334</v>
      </c>
    </row>
    <row r="12" customFormat="false" ht="15" hidden="false" customHeight="false" outlineLevel="0" collapsed="false">
      <c r="B12" s="62" t="s">
        <v>335</v>
      </c>
      <c r="C12" s="62" t="s">
        <v>128</v>
      </c>
      <c r="D12" s="62" t="s">
        <v>332</v>
      </c>
      <c r="E12" s="80" t="n">
        <v>1</v>
      </c>
      <c r="F12" s="62" t="s">
        <v>321</v>
      </c>
      <c r="G12" s="62" t="s">
        <v>336</v>
      </c>
      <c r="H12" s="62" t="s">
        <v>337</v>
      </c>
    </row>
    <row r="13" customFormat="false" ht="15" hidden="false" customHeight="false" outlineLevel="0" collapsed="false">
      <c r="B13" s="62" t="s">
        <v>75</v>
      </c>
      <c r="C13" s="62" t="s">
        <v>73</v>
      </c>
      <c r="D13" s="62" t="s">
        <v>338</v>
      </c>
      <c r="E13" s="80" t="n">
        <v>2</v>
      </c>
      <c r="F13" s="62" t="s">
        <v>321</v>
      </c>
      <c r="G13" s="62" t="s">
        <v>339</v>
      </c>
      <c r="H13" s="62" t="s">
        <v>315</v>
      </c>
    </row>
    <row r="14" customFormat="false" ht="28.35" hidden="false" customHeight="false" outlineLevel="0" collapsed="false">
      <c r="B14" s="62" t="s">
        <v>51</v>
      </c>
      <c r="C14" s="62" t="s">
        <v>49</v>
      </c>
      <c r="D14" s="62" t="s">
        <v>340</v>
      </c>
      <c r="E14" s="80" t="n">
        <v>2</v>
      </c>
      <c r="F14" s="62" t="s">
        <v>321</v>
      </c>
      <c r="G14" s="62" t="s">
        <v>339</v>
      </c>
      <c r="H14" s="62" t="s">
        <v>341</v>
      </c>
    </row>
    <row r="15" customFormat="false" ht="15" hidden="false" customHeight="false" outlineLevel="0" collapsed="false">
      <c r="B15" s="62" t="s">
        <v>342</v>
      </c>
      <c r="C15" s="62" t="s">
        <v>97</v>
      </c>
      <c r="D15" s="62" t="s">
        <v>343</v>
      </c>
      <c r="E15" s="80" t="n">
        <v>1</v>
      </c>
      <c r="F15" s="62" t="s">
        <v>321</v>
      </c>
      <c r="G15" s="62" t="s">
        <v>344</v>
      </c>
      <c r="H15" s="62" t="s">
        <v>345</v>
      </c>
    </row>
    <row r="16" customFormat="false" ht="15" hidden="false" customHeight="false" outlineLevel="0" collapsed="false">
      <c r="D16" s="81" t="s">
        <v>346</v>
      </c>
      <c r="E16" s="82" t="n">
        <f aca="false">SUM(E6:E15)</f>
        <v>12</v>
      </c>
    </row>
    <row r="17" customFormat="false" ht="15" hidden="false" customHeight="false" outlineLevel="0" collapsed="false">
      <c r="D17" s="51" t="s">
        <v>347</v>
      </c>
      <c r="E17" s="83" t="n">
        <f aca="false">'Master-BoM'!J44-E16</f>
        <v>58</v>
      </c>
      <c r="F17" s="79" t="str">
        <f aca="false">IF(E17='No-Voice BoM (Priced)'!K41,"matches priced sheet","MISMATCH")</f>
        <v>matches priced sheet</v>
      </c>
    </row>
    <row r="19" customFormat="false" ht="15" hidden="false" customHeight="false" outlineLevel="0" collapsed="false">
      <c r="B19" s="79" t="s">
        <v>348</v>
      </c>
    </row>
    <row r="20" customFormat="false" ht="15" hidden="false" customHeight="false" outlineLevel="0" collapsed="false">
      <c r="B20" s="79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2013-12-31T18:23:59Z</dcterms:created>
  <dc:creator>NAJEEM SYED</dc:creator>
  <dc:description/>
  <cp:keywords>BoM</cp:keywords>
  <dc:language>en-US</dc:language>
  <cp:lastModifiedBy>NAJEEM SYED</cp:lastModifiedBy>
  <cp:lastPrinted>2025-12-10T12:35:29Z</cp:lastPrinted>
  <dcterms:modified xsi:type="dcterms:W3CDTF">2026-09-27T19:06:31Z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